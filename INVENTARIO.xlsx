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co313652_gmodelo_com_mx/Documents/Desktop/"/>
    </mc:Choice>
  </mc:AlternateContent>
  <xr:revisionPtr revIDLastSave="0" documentId="8_{AD4881F2-6585-3144-A85C-2EA3E13D10C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SPONIBILIDAD " sheetId="22" r:id="rId1"/>
    <sheet name="MODELO LAYOUT" sheetId="18" r:id="rId2"/>
    <sheet name="DATA" sheetId="19" r:id="rId3"/>
  </sheets>
  <externalReferences>
    <externalReference r:id="rId4"/>
  </externalReferences>
  <definedNames>
    <definedName name="_xlnm._FilterDatabase" localSheetId="2" hidden="1">DATA!$A$1:$E$152</definedName>
    <definedName name="_xlnm._FilterDatabase" localSheetId="0" hidden="1">'DISPONIBILIDAD '!$A$4:$K$50</definedName>
    <definedName name="_xlnm._FilterDatabase" localSheetId="1" hidden="1">'MODELO LAYOUT'!$A$1:$A$299</definedName>
    <definedName name="DATA1">#REF!</definedName>
    <definedName name="DATA2">#REF!</definedName>
    <definedName name="DATA3">#REF!</definedName>
    <definedName name="DATA4">#REF!</definedName>
    <definedName name="TEST0">#REF!</definedName>
    <definedName name="TESTHKEY">#REF!</definedName>
    <definedName name="TESTKEYS">#REF!</definedName>
    <definedName name="TESTVKE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80" i="18" l="1"/>
  <c r="BB79" i="18"/>
  <c r="BB78" i="18"/>
  <c r="BB77" i="18"/>
  <c r="BI47" i="18"/>
  <c r="BL49" i="18"/>
  <c r="BL48" i="18"/>
  <c r="BL47" i="18"/>
  <c r="BY48" i="18"/>
  <c r="BY54" i="18"/>
  <c r="BY53" i="18"/>
  <c r="BJ51" i="18"/>
  <c r="BJ49" i="18"/>
  <c r="BJ47" i="18"/>
  <c r="BS49" i="18"/>
  <c r="BS48" i="18"/>
  <c r="BS47" i="18"/>
  <c r="BY49" i="18"/>
  <c r="BX12" i="18"/>
  <c r="BX11" i="18"/>
  <c r="BX10" i="18"/>
  <c r="AU10" i="18"/>
  <c r="V14" i="22"/>
  <c r="V13" i="22"/>
  <c r="W7" i="22"/>
  <c r="Y7" i="22"/>
  <c r="W4" i="22"/>
  <c r="V7" i="22"/>
  <c r="N51" i="22"/>
  <c r="W19" i="22"/>
  <c r="Y19" i="22"/>
  <c r="W17" i="22"/>
  <c r="Y17" i="22"/>
  <c r="V17" i="22"/>
  <c r="Y4" i="22"/>
  <c r="Y5" i="22"/>
  <c r="Y6" i="22"/>
  <c r="Y8" i="22"/>
  <c r="Y9" i="22"/>
  <c r="Y10" i="22"/>
  <c r="Y11" i="22"/>
  <c r="Y12" i="22"/>
  <c r="Y13" i="22"/>
  <c r="Y14" i="22"/>
  <c r="Y15" i="22"/>
  <c r="Y16" i="22"/>
  <c r="Y18" i="22"/>
  <c r="Y3" i="22"/>
  <c r="V3" i="22"/>
  <c r="U3" i="22"/>
  <c r="U6" i="22"/>
  <c r="X4" i="22"/>
  <c r="W9" i="22"/>
  <c r="X9" i="22"/>
  <c r="U10" i="22"/>
  <c r="V10" i="22"/>
  <c r="W10" i="22"/>
  <c r="U11" i="22"/>
  <c r="U13" i="22"/>
  <c r="W14" i="22"/>
  <c r="X14" i="22"/>
  <c r="U17" i="22"/>
  <c r="X19" i="22"/>
  <c r="N19" i="22"/>
  <c r="N18" i="22"/>
  <c r="N17" i="22"/>
  <c r="N16" i="22"/>
  <c r="N15" i="22"/>
  <c r="N14" i="22"/>
  <c r="N13" i="22"/>
  <c r="N12" i="22"/>
  <c r="N11" i="22"/>
  <c r="N10" i="22"/>
  <c r="N9" i="22"/>
  <c r="N8" i="22"/>
  <c r="N7" i="22"/>
  <c r="P10" i="22"/>
  <c r="N4" i="22"/>
  <c r="N5" i="22"/>
  <c r="N6" i="22"/>
  <c r="N3" i="22"/>
  <c r="S20" i="22"/>
  <c r="R20" i="22"/>
  <c r="Q20" i="22"/>
  <c r="T16" i="22"/>
  <c r="T12" i="22"/>
  <c r="T11" i="22"/>
  <c r="V20" i="22"/>
  <c r="W20" i="22"/>
  <c r="U20" i="22"/>
  <c r="X20" i="22"/>
  <c r="T20" i="22"/>
  <c r="Y20" i="22"/>
  <c r="B54" i="18"/>
  <c r="B81" i="18"/>
  <c r="B91" i="18"/>
  <c r="H89" i="18"/>
  <c r="H87" i="18"/>
  <c r="H85" i="18"/>
  <c r="H79" i="18"/>
  <c r="B77" i="18"/>
  <c r="H77" i="18"/>
  <c r="H75" i="18"/>
  <c r="D54" i="18"/>
  <c r="P19" i="22"/>
  <c r="P18" i="22"/>
  <c r="P17" i="22"/>
  <c r="P16" i="22"/>
  <c r="P15" i="22"/>
  <c r="P14" i="22"/>
  <c r="P13" i="22"/>
  <c r="P12" i="22"/>
  <c r="P11" i="22"/>
  <c r="P9" i="22"/>
  <c r="P8" i="22"/>
  <c r="P7" i="22"/>
  <c r="P6" i="22"/>
  <c r="P5" i="22"/>
  <c r="P4" i="22"/>
  <c r="CM93" i="18"/>
  <c r="CM92" i="18"/>
  <c r="P3" i="22"/>
  <c r="BG60" i="18"/>
  <c r="BY18" i="18"/>
  <c r="AR10" i="18"/>
  <c r="AQ16" i="18"/>
  <c r="AN16" i="18"/>
  <c r="AN14" i="18"/>
  <c r="AL16" i="18"/>
  <c r="C2" i="22"/>
  <c r="BU10" i="18"/>
  <c r="BC12" i="18"/>
  <c r="A10" i="19"/>
  <c r="A61" i="19"/>
  <c r="A80" i="19"/>
  <c r="A81" i="19"/>
  <c r="A129" i="19"/>
  <c r="A118" i="19"/>
  <c r="A119" i="19"/>
  <c r="A116" i="19"/>
  <c r="A2" i="19"/>
  <c r="A4" i="19"/>
  <c r="A5" i="19"/>
  <c r="A6" i="19"/>
  <c r="A7" i="19"/>
  <c r="A8" i="19"/>
  <c r="A38" i="19"/>
  <c r="A62" i="19"/>
  <c r="A79" i="19"/>
  <c r="A133" i="19"/>
  <c r="A132" i="19"/>
  <c r="A117" i="19"/>
  <c r="A145" i="19"/>
  <c r="A147" i="19"/>
  <c r="A151" i="19"/>
  <c r="A148" i="19"/>
  <c r="A152" i="19"/>
  <c r="A3" i="19"/>
  <c r="A125" i="19"/>
  <c r="A149" i="19"/>
  <c r="A146" i="19"/>
  <c r="A150" i="19"/>
  <c r="A14" i="19"/>
  <c r="A43" i="19"/>
  <c r="A63" i="19"/>
  <c r="A82" i="19"/>
  <c r="A83" i="19"/>
  <c r="A134" i="19"/>
  <c r="A84" i="19"/>
  <c r="A64" i="19"/>
  <c r="A85" i="19"/>
  <c r="A86" i="19"/>
  <c r="A87" i="19"/>
  <c r="A140" i="19"/>
  <c r="D13" i="22"/>
  <c r="E13" i="22"/>
  <c r="A9" i="19"/>
  <c r="A11" i="19"/>
  <c r="A21" i="19"/>
  <c r="A50" i="19"/>
  <c r="A112" i="19"/>
  <c r="A113" i="19"/>
  <c r="A114" i="19"/>
  <c r="A120" i="19"/>
  <c r="A121" i="19"/>
  <c r="A122" i="19"/>
  <c r="A123" i="19"/>
  <c r="A124" i="19"/>
  <c r="A127" i="19"/>
  <c r="A128" i="19"/>
  <c r="A135" i="19"/>
  <c r="A136" i="19"/>
  <c r="A137" i="19"/>
  <c r="A138" i="19"/>
  <c r="A139" i="19"/>
  <c r="A115" i="19"/>
  <c r="A12" i="19"/>
  <c r="A36" i="19"/>
  <c r="A20" i="19"/>
  <c r="BC14" i="18"/>
  <c r="B22" i="19"/>
  <c r="BK54" i="18"/>
  <c r="B119" i="19"/>
  <c r="BJ54" i="18"/>
  <c r="B118" i="19"/>
  <c r="BH54" i="18"/>
  <c r="B116" i="19"/>
  <c r="B152" i="19"/>
  <c r="B128" i="19"/>
  <c r="BJ18" i="18"/>
  <c r="B50" i="19"/>
  <c r="BZ47" i="18"/>
  <c r="B79" i="19"/>
  <c r="B149" i="19"/>
  <c r="BT54" i="18"/>
  <c r="B133" i="19"/>
  <c r="B151" i="19"/>
  <c r="BZ48" i="18"/>
  <c r="B80" i="19"/>
  <c r="BU54" i="18"/>
  <c r="B134" i="19"/>
  <c r="BQ54" i="18"/>
  <c r="B130" i="19"/>
  <c r="B120" i="19"/>
  <c r="B43" i="19"/>
  <c r="D21" i="22"/>
  <c r="E21" i="22"/>
  <c r="BP54" i="18"/>
  <c r="B129" i="19"/>
  <c r="BG54" i="18"/>
  <c r="B115" i="19"/>
  <c r="B150" i="19"/>
  <c r="BI54" i="18"/>
  <c r="B117" i="19"/>
  <c r="BL54" i="18"/>
  <c r="B125" i="19"/>
  <c r="BZ49" i="18"/>
  <c r="B81" i="19"/>
  <c r="BS54" i="18"/>
  <c r="B132" i="19"/>
  <c r="B36" i="19"/>
  <c r="BA14" i="18"/>
  <c r="B20" i="19"/>
  <c r="D45" i="22"/>
  <c r="E45" i="22"/>
  <c r="BM49" i="18"/>
  <c r="BY31" i="18"/>
  <c r="N27" i="22"/>
  <c r="N26" i="22"/>
  <c r="N25" i="22"/>
  <c r="N24" i="22"/>
  <c r="N23" i="22"/>
  <c r="N22" i="22"/>
  <c r="N21" i="22"/>
  <c r="L21" i="22"/>
  <c r="F21" i="22"/>
  <c r="AU60" i="18"/>
  <c r="BQ48" i="18"/>
  <c r="BW20" i="18"/>
  <c r="BY20" i="18"/>
  <c r="AZ20" i="18"/>
  <c r="AV47" i="18"/>
  <c r="AV62" i="18"/>
  <c r="AX10" i="18"/>
  <c r="BC56" i="18"/>
  <c r="BQ33" i="18"/>
  <c r="BU33" i="18"/>
  <c r="BT33" i="18"/>
  <c r="BW33" i="18"/>
  <c r="BX33" i="18"/>
  <c r="BY33" i="18"/>
  <c r="A18" i="19"/>
  <c r="A16" i="19"/>
  <c r="A37" i="19"/>
  <c r="A17" i="19"/>
  <c r="A39" i="19"/>
  <c r="A40" i="19"/>
  <c r="A19" i="19"/>
  <c r="A41" i="19"/>
  <c r="A42" i="19"/>
  <c r="A22" i="19"/>
  <c r="A55" i="19"/>
  <c r="A67" i="19"/>
  <c r="A78" i="19"/>
  <c r="A76" i="19"/>
  <c r="A77" i="19"/>
  <c r="A75" i="19"/>
  <c r="A73" i="19"/>
  <c r="A74" i="19"/>
  <c r="A71" i="19"/>
  <c r="A70" i="19"/>
  <c r="A65" i="19"/>
  <c r="BZ50" i="18"/>
  <c r="B82" i="19"/>
  <c r="A131" i="19"/>
  <c r="A130" i="19"/>
  <c r="E119" i="19"/>
  <c r="BE54" i="18"/>
  <c r="B111" i="19"/>
  <c r="A111" i="19"/>
  <c r="A110" i="19"/>
  <c r="A109" i="19"/>
  <c r="A107" i="19"/>
  <c r="A91" i="19"/>
  <c r="A94" i="19"/>
  <c r="A88" i="19"/>
  <c r="B67" i="19"/>
  <c r="B73" i="19"/>
  <c r="B136" i="19"/>
  <c r="B127" i="19"/>
  <c r="BC54" i="18"/>
  <c r="B109" i="19"/>
  <c r="BX51" i="18"/>
  <c r="BZ51" i="18"/>
  <c r="B83" i="19"/>
  <c r="B138" i="19"/>
  <c r="B123" i="19"/>
  <c r="BM54" i="18"/>
  <c r="B126" i="19"/>
  <c r="E126" i="19"/>
  <c r="AV54" i="18"/>
  <c r="B91" i="19"/>
  <c r="B94" i="19"/>
  <c r="B146" i="19"/>
  <c r="AZ14" i="18"/>
  <c r="B19" i="19"/>
  <c r="BX53" i="18"/>
  <c r="BZ53" i="18"/>
  <c r="B85" i="19"/>
  <c r="B147" i="19"/>
  <c r="B140" i="19"/>
  <c r="B122" i="19"/>
  <c r="B107" i="19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" i="22"/>
  <c r="BX55" i="18"/>
  <c r="BX54" i="18"/>
  <c r="BX52" i="18"/>
  <c r="C84" i="19"/>
  <c r="BX50" i="18"/>
  <c r="AX16" i="18"/>
  <c r="BN20" i="18"/>
  <c r="BK20" i="18"/>
  <c r="AK16" i="18"/>
  <c r="A51" i="19"/>
  <c r="D42" i="22"/>
  <c r="E42" i="22"/>
  <c r="A15" i="19"/>
  <c r="A13" i="19"/>
  <c r="BB14" i="18"/>
  <c r="B21" i="19"/>
  <c r="A52" i="19"/>
  <c r="A53" i="19"/>
  <c r="A54" i="19"/>
  <c r="BZ54" i="18"/>
  <c r="B86" i="19"/>
  <c r="B95" i="19"/>
  <c r="A95" i="19"/>
  <c r="B148" i="19"/>
  <c r="A104" i="19"/>
  <c r="A60" i="19"/>
  <c r="A69" i="19"/>
  <c r="A68" i="19"/>
  <c r="A66" i="19"/>
  <c r="CM87" i="18"/>
  <c r="CM88" i="18"/>
  <c r="CM89" i="18"/>
  <c r="CM90" i="18"/>
  <c r="CM91" i="18"/>
  <c r="E79" i="19"/>
  <c r="C55" i="19"/>
  <c r="C82" i="19"/>
  <c r="BX49" i="18"/>
  <c r="C81" i="19"/>
  <c r="BX48" i="18"/>
  <c r="DI37" i="18"/>
  <c r="AJ14" i="18"/>
  <c r="BS56" i="18"/>
  <c r="F11" i="18"/>
  <c r="DK37" i="18"/>
  <c r="DI45" i="18"/>
  <c r="DK45" i="18"/>
  <c r="DI46" i="18"/>
  <c r="DK46" i="18"/>
  <c r="CR45" i="18"/>
  <c r="CR38" i="18"/>
  <c r="CR39" i="18"/>
  <c r="CR40" i="18"/>
  <c r="CR41" i="18"/>
  <c r="CR42" i="18"/>
  <c r="CR43" i="18"/>
  <c r="CR44" i="18"/>
  <c r="CR46" i="18"/>
  <c r="CR47" i="18"/>
  <c r="CR48" i="18"/>
  <c r="CR49" i="18"/>
  <c r="CR50" i="18"/>
  <c r="CR51" i="18"/>
  <c r="CR52" i="18"/>
  <c r="CR53" i="18"/>
  <c r="CR54" i="18"/>
  <c r="CR55" i="18"/>
  <c r="CR56" i="18"/>
  <c r="CR57" i="18"/>
  <c r="CR58" i="18"/>
  <c r="CR59" i="18"/>
  <c r="CR37" i="18"/>
  <c r="DI59" i="18"/>
  <c r="DK59" i="18"/>
  <c r="DI58" i="18"/>
  <c r="DK58" i="18"/>
  <c r="DI57" i="18"/>
  <c r="DK57" i="18"/>
  <c r="DI56" i="18"/>
  <c r="DK56" i="18"/>
  <c r="DI55" i="18"/>
  <c r="DK55" i="18"/>
  <c r="DI54" i="18"/>
  <c r="DK54" i="18"/>
  <c r="DI53" i="18"/>
  <c r="DK53" i="18"/>
  <c r="DI52" i="18"/>
  <c r="DK52" i="18"/>
  <c r="DI51" i="18"/>
  <c r="DK51" i="18"/>
  <c r="DI50" i="18"/>
  <c r="DK50" i="18"/>
  <c r="DI49" i="18"/>
  <c r="DK49" i="18"/>
  <c r="DI48" i="18"/>
  <c r="DK48" i="18"/>
  <c r="DI47" i="18"/>
  <c r="DI38" i="18"/>
  <c r="DI39" i="18"/>
  <c r="DI40" i="18"/>
  <c r="DI41" i="18"/>
  <c r="DI42" i="18"/>
  <c r="DI43" i="18"/>
  <c r="DI44" i="18"/>
  <c r="DI60" i="18"/>
  <c r="DK47" i="18"/>
  <c r="DK44" i="18"/>
  <c r="DK43" i="18"/>
  <c r="DK42" i="18"/>
  <c r="DK41" i="18"/>
  <c r="DK40" i="18"/>
  <c r="DK39" i="18"/>
  <c r="BR56" i="18"/>
  <c r="D63" i="18"/>
  <c r="D60" i="18"/>
  <c r="D58" i="18"/>
  <c r="F58" i="18"/>
  <c r="F54" i="18"/>
  <c r="D61" i="18"/>
  <c r="BV26" i="18"/>
  <c r="E2" i="22"/>
  <c r="J54" i="18"/>
  <c r="D62" i="18"/>
  <c r="H54" i="18"/>
  <c r="D59" i="18"/>
  <c r="BR54" i="18"/>
  <c r="B131" i="19"/>
  <c r="B66" i="19"/>
  <c r="BJ56" i="18"/>
  <c r="CP1" i="18"/>
  <c r="CQ1" i="18"/>
  <c r="CR1" i="18"/>
  <c r="CT1" i="18"/>
  <c r="CU1" i="18"/>
  <c r="DA1" i="18"/>
  <c r="CX1" i="18"/>
  <c r="CY1" i="18"/>
  <c r="DB1" i="18"/>
  <c r="DE1" i="18"/>
  <c r="DD1" i="18"/>
  <c r="DF1" i="18"/>
  <c r="CP13" i="18"/>
  <c r="CQ13" i="18"/>
  <c r="CS13" i="18"/>
  <c r="CT13" i="18"/>
  <c r="CR13" i="18"/>
  <c r="CN101" i="18"/>
  <c r="CN100" i="18"/>
  <c r="CN102" i="18"/>
  <c r="CN103" i="18"/>
  <c r="CN99" i="18"/>
  <c r="CO102" i="18"/>
  <c r="CO103" i="18"/>
  <c r="CN104" i="18"/>
  <c r="CN105" i="18"/>
  <c r="DH23" i="18"/>
  <c r="DA23" i="18"/>
  <c r="CZ23" i="18"/>
  <c r="CX23" i="18"/>
  <c r="CW23" i="18"/>
  <c r="CV23" i="18"/>
  <c r="CN182" i="18"/>
  <c r="W15" i="18"/>
  <c r="CN183" i="18"/>
  <c r="CO183" i="18"/>
  <c r="CN184" i="18"/>
  <c r="CN185" i="18"/>
  <c r="CX22" i="18"/>
  <c r="DI22" i="18"/>
  <c r="DH22" i="18"/>
  <c r="DG22" i="18"/>
  <c r="DF22" i="18"/>
  <c r="DE22" i="18"/>
  <c r="DD22" i="18"/>
  <c r="CZ22" i="18"/>
  <c r="CW22" i="18"/>
  <c r="CV22" i="18"/>
  <c r="CY22" i="18"/>
  <c r="CN108" i="18" a="1"/>
  <c r="CN108" i="18"/>
  <c r="CU22" i="18"/>
  <c r="CO99" i="18"/>
  <c r="BZ52" i="18"/>
  <c r="CO104" i="18"/>
  <c r="BU18" i="18"/>
  <c r="AY58" i="18"/>
  <c r="AY59" i="18"/>
  <c r="AY54" i="18"/>
  <c r="C103" i="19"/>
  <c r="AY56" i="18"/>
  <c r="AR16" i="18"/>
  <c r="AS16" i="18"/>
  <c r="BA16" i="18"/>
  <c r="BX26" i="18"/>
  <c r="AV77" i="18"/>
  <c r="C145" i="19"/>
  <c r="AV78" i="18"/>
  <c r="C146" i="19"/>
  <c r="AV79" i="18"/>
  <c r="C147" i="19"/>
  <c r="AV80" i="18"/>
  <c r="C148" i="19"/>
  <c r="BG56" i="18"/>
  <c r="C115" i="19"/>
  <c r="AV22" i="18"/>
  <c r="AI16" i="18"/>
  <c r="BZ55" i="18"/>
  <c r="B145" i="19"/>
  <c r="CS17" i="18"/>
  <c r="CP17" i="18"/>
  <c r="CT17" i="18"/>
  <c r="CQ17" i="18"/>
  <c r="AK14" i="18"/>
  <c r="R76" i="18"/>
  <c r="R77" i="18"/>
  <c r="M60" i="18"/>
  <c r="H60" i="18"/>
  <c r="H61" i="18"/>
  <c r="BM62" i="18"/>
  <c r="BX18" i="18"/>
  <c r="B63" i="19"/>
  <c r="CU23" i="18"/>
  <c r="BH56" i="18"/>
  <c r="DG2" i="18"/>
  <c r="BC22" i="18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44" i="19"/>
  <c r="A45" i="19"/>
  <c r="A46" i="19"/>
  <c r="A47" i="19"/>
  <c r="A48" i="19"/>
  <c r="A49" i="19"/>
  <c r="A56" i="19"/>
  <c r="A57" i="19"/>
  <c r="A58" i="19"/>
  <c r="A59" i="19"/>
  <c r="AY14" i="18"/>
  <c r="B18" i="19"/>
  <c r="B47" i="19"/>
  <c r="A108" i="19"/>
  <c r="A72" i="19"/>
  <c r="A89" i="19"/>
  <c r="A90" i="19"/>
  <c r="A92" i="19"/>
  <c r="A93" i="19"/>
  <c r="A96" i="19"/>
  <c r="A97" i="19"/>
  <c r="A98" i="19"/>
  <c r="A99" i="19"/>
  <c r="A100" i="19"/>
  <c r="A101" i="19"/>
  <c r="A102" i="19"/>
  <c r="A103" i="19"/>
  <c r="A105" i="19"/>
  <c r="A106" i="19"/>
  <c r="A126" i="19"/>
  <c r="A141" i="19"/>
  <c r="A142" i="19"/>
  <c r="A143" i="19"/>
  <c r="A144" i="19"/>
  <c r="CQ2" i="18"/>
  <c r="AL14" i="18"/>
  <c r="B5" i="19"/>
  <c r="B7" i="19"/>
  <c r="AO14" i="18"/>
  <c r="B8" i="19"/>
  <c r="AP14" i="18"/>
  <c r="B9" i="19"/>
  <c r="AQ14" i="18"/>
  <c r="B10" i="19"/>
  <c r="AR14" i="18"/>
  <c r="B11" i="19"/>
  <c r="AS14" i="18"/>
  <c r="B12" i="19"/>
  <c r="AT14" i="18"/>
  <c r="B13" i="19"/>
  <c r="AU14" i="18"/>
  <c r="B14" i="19"/>
  <c r="AV14" i="18"/>
  <c r="B15" i="19"/>
  <c r="AW14" i="18"/>
  <c r="B16" i="19"/>
  <c r="AX14" i="18"/>
  <c r="B17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7" i="19"/>
  <c r="B38" i="19"/>
  <c r="B39" i="19"/>
  <c r="B40" i="19"/>
  <c r="B41" i="19"/>
  <c r="B42" i="19"/>
  <c r="BE14" i="18"/>
  <c r="B44" i="19"/>
  <c r="BF14" i="18"/>
  <c r="B45" i="19"/>
  <c r="BG14" i="18"/>
  <c r="DN2" i="18"/>
  <c r="B48" i="19"/>
  <c r="B49" i="19"/>
  <c r="BK18" i="18"/>
  <c r="B51" i="19"/>
  <c r="BL18" i="18"/>
  <c r="B52" i="19"/>
  <c r="BM18" i="18"/>
  <c r="B53" i="19"/>
  <c r="BN18" i="18"/>
  <c r="B54" i="19"/>
  <c r="B55" i="19"/>
  <c r="B56" i="19"/>
  <c r="B57" i="19"/>
  <c r="B58" i="19"/>
  <c r="B59" i="19"/>
  <c r="BV18" i="18"/>
  <c r="B61" i="19"/>
  <c r="BW18" i="18"/>
  <c r="B62" i="19"/>
  <c r="B64" i="19"/>
  <c r="B65" i="19"/>
  <c r="O60" i="18"/>
  <c r="B68" i="19"/>
  <c r="B69" i="19"/>
  <c r="B70" i="19"/>
  <c r="B71" i="19"/>
  <c r="B72" i="19"/>
  <c r="B74" i="19"/>
  <c r="B75" i="19"/>
  <c r="B76" i="19"/>
  <c r="B77" i="19"/>
  <c r="B78" i="19"/>
  <c r="B84" i="19"/>
  <c r="B87" i="19"/>
  <c r="AS54" i="18"/>
  <c r="B88" i="19"/>
  <c r="AT54" i="18"/>
  <c r="B89" i="19"/>
  <c r="AU54" i="18"/>
  <c r="B90" i="19"/>
  <c r="B92" i="19"/>
  <c r="B93" i="19"/>
  <c r="B96" i="19"/>
  <c r="B97" i="19"/>
  <c r="B98" i="19"/>
  <c r="B99" i="19"/>
  <c r="B100" i="19"/>
  <c r="B101" i="19"/>
  <c r="B102" i="19"/>
  <c r="B103" i="19"/>
  <c r="B104" i="19"/>
  <c r="B105" i="19"/>
  <c r="B106" i="19"/>
  <c r="B108" i="19"/>
  <c r="BD54" i="18"/>
  <c r="B110" i="19"/>
  <c r="B112" i="19"/>
  <c r="B113" i="19"/>
  <c r="B114" i="19"/>
  <c r="B121" i="19"/>
  <c r="B124" i="19"/>
  <c r="DI23" i="18"/>
  <c r="B135" i="19"/>
  <c r="B137" i="19"/>
  <c r="B139" i="19"/>
  <c r="B141" i="19"/>
  <c r="B142" i="19"/>
  <c r="B143" i="19"/>
  <c r="B144" i="19"/>
  <c r="AI14" i="18"/>
  <c r="B2" i="19"/>
  <c r="B4" i="19"/>
  <c r="BT56" i="18"/>
  <c r="C133" i="19"/>
  <c r="BU56" i="18"/>
  <c r="C134" i="19"/>
  <c r="R15" i="18"/>
  <c r="S15" i="18"/>
  <c r="BS33" i="18"/>
  <c r="BR33" i="18"/>
  <c r="BV20" i="18"/>
  <c r="AZ16" i="18"/>
  <c r="F63" i="18"/>
  <c r="F62" i="18"/>
  <c r="D67" i="18"/>
  <c r="CN179" i="18"/>
  <c r="CO179" i="18"/>
  <c r="CN180" i="18"/>
  <c r="CO180" i="18"/>
  <c r="CN181" i="18"/>
  <c r="CO181" i="18"/>
  <c r="CO178" i="18"/>
  <c r="CN178" i="18"/>
  <c r="CO177" i="18"/>
  <c r="CO176" i="18"/>
  <c r="CO175" i="18"/>
  <c r="CO174" i="18"/>
  <c r="CN177" i="18"/>
  <c r="CN176" i="18"/>
  <c r="CN175" i="18"/>
  <c r="CN174" i="18"/>
  <c r="DR29" i="18"/>
  <c r="DQ29" i="18"/>
  <c r="DP29" i="18"/>
  <c r="DO29" i="18"/>
  <c r="DN29" i="18"/>
  <c r="DM29" i="18"/>
  <c r="DL29" i="18"/>
  <c r="DK29" i="18"/>
  <c r="DJ29" i="18"/>
  <c r="DI29" i="18"/>
  <c r="DH29" i="18"/>
  <c r="DG29" i="18"/>
  <c r="DF29" i="18"/>
  <c r="DE29" i="18"/>
  <c r="DD29" i="18"/>
  <c r="DC29" i="18"/>
  <c r="DB29" i="18"/>
  <c r="DA29" i="18"/>
  <c r="CZ29" i="18"/>
  <c r="CY29" i="18"/>
  <c r="CX29" i="18"/>
  <c r="CW29" i="18"/>
  <c r="CV29" i="18"/>
  <c r="CU29" i="18"/>
  <c r="CT29" i="18"/>
  <c r="CS29" i="18"/>
  <c r="CR29" i="18"/>
  <c r="CQ29" i="18"/>
  <c r="CO145" i="18" a="1"/>
  <c r="CO145" i="18"/>
  <c r="CP29" i="18"/>
  <c r="DR28" i="18"/>
  <c r="DQ28" i="18"/>
  <c r="DP28" i="18"/>
  <c r="DO28" i="18"/>
  <c r="DN28" i="18"/>
  <c r="DM28" i="18"/>
  <c r="DL28" i="18"/>
  <c r="DJ28" i="18"/>
  <c r="CZ28" i="18"/>
  <c r="CR28" i="18"/>
  <c r="DI28" i="18"/>
  <c r="DK28" i="18"/>
  <c r="DH28" i="18"/>
  <c r="DG28" i="18"/>
  <c r="DF28" i="18"/>
  <c r="DE28" i="18"/>
  <c r="DD28" i="18"/>
  <c r="DC28" i="18"/>
  <c r="DB28" i="18"/>
  <c r="DA28" i="18"/>
  <c r="CY28" i="18"/>
  <c r="CX28" i="18"/>
  <c r="CW28" i="18"/>
  <c r="CV28" i="18"/>
  <c r="CU28" i="18"/>
  <c r="CT28" i="18"/>
  <c r="CS28" i="18"/>
  <c r="CQ28" i="18"/>
  <c r="CP28" i="18"/>
  <c r="CN145" i="18" a="1"/>
  <c r="CN145" i="18"/>
  <c r="CS25" i="18"/>
  <c r="CR25" i="18"/>
  <c r="CQ25" i="18"/>
  <c r="CP25" i="18"/>
  <c r="CN141" i="18" a="1"/>
  <c r="CN141" i="18"/>
  <c r="CO129" i="18"/>
  <c r="CO130" i="18"/>
  <c r="CO131" i="18"/>
  <c r="CO132" i="18"/>
  <c r="CO133" i="18"/>
  <c r="CO134" i="18"/>
  <c r="CO135" i="18"/>
  <c r="CO136" i="18"/>
  <c r="CO137" i="18"/>
  <c r="CO138" i="18"/>
  <c r="CO140" i="18"/>
  <c r="CO128" i="18"/>
  <c r="CN140" i="18"/>
  <c r="CN139" i="18"/>
  <c r="CN138" i="18"/>
  <c r="CN137" i="18"/>
  <c r="CN136" i="18"/>
  <c r="CN135" i="18"/>
  <c r="CN134" i="18"/>
  <c r="CN133" i="18"/>
  <c r="CN132" i="18"/>
  <c r="CN131" i="18"/>
  <c r="CN130" i="18"/>
  <c r="CN129" i="18"/>
  <c r="CN128" i="18"/>
  <c r="DB23" i="18"/>
  <c r="CT23" i="18"/>
  <c r="DC22" i="18"/>
  <c r="DB22" i="18"/>
  <c r="DA22" i="18"/>
  <c r="CT22" i="18"/>
  <c r="CS22" i="18"/>
  <c r="CR22" i="18"/>
  <c r="CQ22" i="18"/>
  <c r="CP22" i="18"/>
  <c r="CN107" i="18"/>
  <c r="CN106" i="18"/>
  <c r="CX20" i="18"/>
  <c r="CW20" i="18"/>
  <c r="CV20" i="18"/>
  <c r="CU20" i="18"/>
  <c r="CT20" i="18"/>
  <c r="CS20" i="18"/>
  <c r="CR20" i="18"/>
  <c r="CQ20" i="18"/>
  <c r="CP20" i="18"/>
  <c r="CO90" i="18" a="1"/>
  <c r="CO90" i="18"/>
  <c r="CX19" i="18"/>
  <c r="CW19" i="18"/>
  <c r="CV19" i="18"/>
  <c r="CU19" i="18"/>
  <c r="CT19" i="18"/>
  <c r="CS19" i="18"/>
  <c r="CR19" i="18"/>
  <c r="CQ19" i="18"/>
  <c r="CP19" i="18"/>
  <c r="CN90" i="18" a="1"/>
  <c r="CN90" i="18"/>
  <c r="CT16" i="18"/>
  <c r="CS16" i="18"/>
  <c r="CR16" i="18"/>
  <c r="CQ16" i="18"/>
  <c r="CP16" i="18"/>
  <c r="CN85" i="18" a="1"/>
  <c r="CN85" i="18"/>
  <c r="CQ7" i="18"/>
  <c r="CR7" i="18"/>
  <c r="CS7" i="18"/>
  <c r="CT7" i="18"/>
  <c r="CQ10" i="18"/>
  <c r="CR10" i="18"/>
  <c r="CS10" i="18"/>
  <c r="CT10" i="18"/>
  <c r="CQ11" i="18"/>
  <c r="CR11" i="18"/>
  <c r="CS11" i="18"/>
  <c r="CT11" i="18"/>
  <c r="CP11" i="18"/>
  <c r="CO75" i="18" a="1"/>
  <c r="CO75" i="18"/>
  <c r="CP10" i="18"/>
  <c r="CN75" i="18" a="1"/>
  <c r="CN75" i="18"/>
  <c r="CP7" i="18"/>
  <c r="CN70" i="18" a="1"/>
  <c r="CN70" i="18"/>
  <c r="CQ5" i="18"/>
  <c r="CR5" i="18"/>
  <c r="CS5" i="18"/>
  <c r="CT5" i="18"/>
  <c r="CU5" i="18"/>
  <c r="CV5" i="18"/>
  <c r="CW5" i="18"/>
  <c r="CX5" i="18"/>
  <c r="CY5" i="18"/>
  <c r="CZ5" i="18"/>
  <c r="DA5" i="18"/>
  <c r="DB5" i="18"/>
  <c r="DF5" i="18"/>
  <c r="DG5" i="18"/>
  <c r="DH5" i="18"/>
  <c r="DI5" i="18"/>
  <c r="DJ5" i="18"/>
  <c r="DK5" i="18"/>
  <c r="DL5" i="18"/>
  <c r="DM5" i="18"/>
  <c r="DN5" i="18"/>
  <c r="CQ4" i="18"/>
  <c r="CR4" i="18"/>
  <c r="CS4" i="18"/>
  <c r="CT4" i="18"/>
  <c r="CU4" i="18"/>
  <c r="CV4" i="18"/>
  <c r="CW4" i="18"/>
  <c r="CX4" i="18"/>
  <c r="CY4" i="18"/>
  <c r="CZ4" i="18"/>
  <c r="DA4" i="18"/>
  <c r="DB4" i="18"/>
  <c r="DC4" i="18"/>
  <c r="DF4" i="18"/>
  <c r="DG4" i="18"/>
  <c r="DH4" i="18"/>
  <c r="DI4" i="18"/>
  <c r="DL4" i="18"/>
  <c r="DD4" i="18"/>
  <c r="DE4" i="18"/>
  <c r="DJ4" i="18"/>
  <c r="DK4" i="18"/>
  <c r="DM4" i="18"/>
  <c r="DN4" i="18"/>
  <c r="CP5" i="18"/>
  <c r="CP4" i="18"/>
  <c r="CN45" i="18" a="1"/>
  <c r="CN45" i="18"/>
  <c r="DK2" i="18"/>
  <c r="DN1" i="18"/>
  <c r="DM1" i="18"/>
  <c r="DL1" i="18"/>
  <c r="DK1" i="18"/>
  <c r="DJ1" i="18"/>
  <c r="CV1" i="18"/>
  <c r="CZ1" i="18"/>
  <c r="DG1" i="18"/>
  <c r="DH1" i="18"/>
  <c r="DI1" i="18"/>
  <c r="CW1" i="18"/>
  <c r="DC1" i="18"/>
  <c r="CS1" i="18"/>
  <c r="CN2" i="18" a="1"/>
  <c r="CN2" i="18"/>
  <c r="CO185" i="18"/>
  <c r="W22" i="18"/>
  <c r="CO184" i="18"/>
  <c r="DE5" i="18"/>
  <c r="X22" i="18"/>
  <c r="CO139" i="18"/>
  <c r="DC5" i="18"/>
  <c r="DD5" i="18"/>
  <c r="E13" i="19"/>
  <c r="R22" i="18"/>
  <c r="X15" i="18"/>
  <c r="DM2" i="18"/>
  <c r="BB16" i="18"/>
  <c r="AZ22" i="18"/>
  <c r="AY22" i="18"/>
  <c r="AX22" i="18"/>
  <c r="AJ16" i="18"/>
  <c r="DE2" i="18"/>
  <c r="DF2" i="18"/>
  <c r="DC23" i="18"/>
  <c r="C85" i="19"/>
  <c r="DI2" i="18"/>
  <c r="CS26" i="18"/>
  <c r="CQ23" i="18"/>
  <c r="CS23" i="18"/>
  <c r="DD2" i="18"/>
  <c r="C86" i="19"/>
  <c r="C87" i="19"/>
  <c r="DE23" i="18"/>
  <c r="CR23" i="18"/>
  <c r="DF23" i="18"/>
  <c r="DD23" i="18"/>
  <c r="BE56" i="18"/>
  <c r="C111" i="19"/>
  <c r="BK56" i="18"/>
  <c r="BM56" i="18"/>
  <c r="BP56" i="18"/>
  <c r="C129" i="19"/>
  <c r="BQ56" i="18"/>
  <c r="C130" i="19"/>
  <c r="BS62" i="18"/>
  <c r="C138" i="19"/>
  <c r="AI22" i="18"/>
  <c r="M61" i="18"/>
  <c r="AY57" i="18"/>
  <c r="C106" i="19"/>
  <c r="BG62" i="18"/>
  <c r="C120" i="19"/>
  <c r="CR17" i="18"/>
  <c r="CO85" i="18" a="1"/>
  <c r="CO85" i="18"/>
  <c r="CM86" i="18"/>
  <c r="R60" i="18"/>
  <c r="R61" i="18"/>
  <c r="BW26" i="18"/>
  <c r="BT62" i="18"/>
  <c r="C139" i="19"/>
  <c r="D3" i="19"/>
  <c r="C4" i="19"/>
  <c r="D4" i="19"/>
  <c r="E4" i="19"/>
  <c r="C5" i="19"/>
  <c r="D5" i="19"/>
  <c r="E5" i="19"/>
  <c r="C6" i="19"/>
  <c r="D6" i="19"/>
  <c r="E6" i="19"/>
  <c r="C7" i="19"/>
  <c r="D7" i="19"/>
  <c r="E7" i="19"/>
  <c r="C8" i="19"/>
  <c r="D8" i="19"/>
  <c r="E8" i="19"/>
  <c r="C9" i="19"/>
  <c r="D9" i="19"/>
  <c r="E9" i="19"/>
  <c r="C10" i="19"/>
  <c r="D10" i="19"/>
  <c r="E10" i="19"/>
  <c r="C11" i="19"/>
  <c r="D11" i="19"/>
  <c r="E11" i="19"/>
  <c r="C12" i="19"/>
  <c r="D12" i="19"/>
  <c r="E12" i="19"/>
  <c r="C13" i="19"/>
  <c r="D13" i="19"/>
  <c r="C14" i="19"/>
  <c r="D14" i="19"/>
  <c r="E14" i="19"/>
  <c r="C15" i="19"/>
  <c r="D15" i="19"/>
  <c r="E15" i="19"/>
  <c r="C16" i="19"/>
  <c r="D16" i="19"/>
  <c r="E16" i="19"/>
  <c r="C17" i="19"/>
  <c r="D17" i="19"/>
  <c r="E17" i="19"/>
  <c r="C18" i="19"/>
  <c r="D18" i="19"/>
  <c r="E18" i="19"/>
  <c r="C19" i="19"/>
  <c r="D19" i="19"/>
  <c r="E19" i="19"/>
  <c r="C20" i="19"/>
  <c r="D20" i="19"/>
  <c r="E20" i="19"/>
  <c r="C21" i="19"/>
  <c r="D21" i="19"/>
  <c r="E21" i="19"/>
  <c r="C22" i="19"/>
  <c r="D22" i="19"/>
  <c r="E22" i="19"/>
  <c r="C23" i="19"/>
  <c r="D23" i="19"/>
  <c r="E23" i="19"/>
  <c r="C24" i="19"/>
  <c r="D24" i="19"/>
  <c r="E24" i="19"/>
  <c r="C25" i="19"/>
  <c r="D25" i="19"/>
  <c r="E25" i="19"/>
  <c r="C26" i="19"/>
  <c r="D26" i="19"/>
  <c r="E26" i="19"/>
  <c r="C27" i="19"/>
  <c r="D27" i="19"/>
  <c r="E27" i="19"/>
  <c r="C28" i="19"/>
  <c r="D28" i="19"/>
  <c r="E28" i="19"/>
  <c r="C29" i="19"/>
  <c r="D29" i="19"/>
  <c r="E29" i="19"/>
  <c r="C30" i="19"/>
  <c r="D30" i="19"/>
  <c r="E30" i="19"/>
  <c r="C31" i="19"/>
  <c r="D31" i="19"/>
  <c r="E31" i="19"/>
  <c r="C32" i="19"/>
  <c r="D32" i="19"/>
  <c r="E32" i="19"/>
  <c r="C33" i="19"/>
  <c r="D33" i="19"/>
  <c r="E33" i="19"/>
  <c r="C34" i="19"/>
  <c r="D34" i="19"/>
  <c r="E34" i="19"/>
  <c r="C35" i="19"/>
  <c r="D35" i="19"/>
  <c r="E35" i="19"/>
  <c r="C36" i="19"/>
  <c r="D36" i="19"/>
  <c r="E36" i="19"/>
  <c r="C37" i="19"/>
  <c r="D37" i="19"/>
  <c r="E37" i="19"/>
  <c r="C38" i="19"/>
  <c r="D38" i="19"/>
  <c r="E38" i="19"/>
  <c r="C39" i="19"/>
  <c r="D39" i="19"/>
  <c r="E39" i="19"/>
  <c r="C40" i="19"/>
  <c r="D40" i="19"/>
  <c r="E40" i="19"/>
  <c r="C41" i="19"/>
  <c r="D41" i="19"/>
  <c r="E41" i="19"/>
  <c r="C42" i="19"/>
  <c r="D42" i="19"/>
  <c r="E42" i="19"/>
  <c r="C43" i="19"/>
  <c r="D43" i="19"/>
  <c r="E43" i="19"/>
  <c r="C44" i="19"/>
  <c r="D44" i="19"/>
  <c r="E44" i="19"/>
  <c r="C45" i="19"/>
  <c r="D45" i="19"/>
  <c r="E45" i="19"/>
  <c r="C46" i="19"/>
  <c r="D46" i="19"/>
  <c r="E46" i="19"/>
  <c r="C47" i="19"/>
  <c r="D47" i="19"/>
  <c r="E47" i="19"/>
  <c r="C48" i="19"/>
  <c r="D48" i="19"/>
  <c r="E48" i="19"/>
  <c r="C49" i="19"/>
  <c r="D49" i="19"/>
  <c r="E49" i="19"/>
  <c r="C50" i="19"/>
  <c r="D50" i="19"/>
  <c r="E50" i="19"/>
  <c r="C51" i="19"/>
  <c r="D51" i="19"/>
  <c r="E51" i="19"/>
  <c r="C52" i="19"/>
  <c r="D52" i="19"/>
  <c r="E52" i="19"/>
  <c r="C53" i="19"/>
  <c r="D53" i="19"/>
  <c r="E53" i="19"/>
  <c r="C54" i="19"/>
  <c r="D54" i="19"/>
  <c r="E54" i="19"/>
  <c r="D55" i="19"/>
  <c r="E55" i="19"/>
  <c r="C56" i="19"/>
  <c r="D56" i="19"/>
  <c r="E56" i="19"/>
  <c r="C57" i="19"/>
  <c r="D57" i="19"/>
  <c r="E57" i="19"/>
  <c r="C58" i="19"/>
  <c r="D58" i="19"/>
  <c r="E58" i="19"/>
  <c r="C59" i="19"/>
  <c r="D59" i="19"/>
  <c r="E59" i="19"/>
  <c r="C60" i="19"/>
  <c r="D60" i="19"/>
  <c r="E60" i="19"/>
  <c r="C61" i="19"/>
  <c r="D61" i="19"/>
  <c r="E61" i="19"/>
  <c r="C62" i="19"/>
  <c r="D62" i="19"/>
  <c r="E62" i="19"/>
  <c r="C63" i="19"/>
  <c r="D63" i="19"/>
  <c r="E63" i="19"/>
  <c r="C64" i="19"/>
  <c r="D64" i="19"/>
  <c r="E64" i="19"/>
  <c r="C65" i="19"/>
  <c r="D65" i="19"/>
  <c r="E65" i="19"/>
  <c r="C66" i="19"/>
  <c r="D66" i="19"/>
  <c r="E66" i="19"/>
  <c r="C67" i="19"/>
  <c r="D67" i="19"/>
  <c r="E67" i="19"/>
  <c r="C68" i="19"/>
  <c r="D68" i="19"/>
  <c r="E68" i="19"/>
  <c r="C69" i="19"/>
  <c r="D69" i="19"/>
  <c r="E69" i="19"/>
  <c r="C70" i="19"/>
  <c r="D70" i="19"/>
  <c r="E70" i="19"/>
  <c r="C71" i="19"/>
  <c r="D71" i="19"/>
  <c r="E71" i="19"/>
  <c r="C72" i="19"/>
  <c r="D72" i="19"/>
  <c r="E72" i="19"/>
  <c r="C73" i="19"/>
  <c r="D73" i="19"/>
  <c r="E73" i="19"/>
  <c r="C74" i="19"/>
  <c r="D74" i="19"/>
  <c r="E74" i="19"/>
  <c r="C75" i="19"/>
  <c r="D75" i="19"/>
  <c r="E75" i="19"/>
  <c r="C76" i="19"/>
  <c r="D76" i="19"/>
  <c r="E76" i="19"/>
  <c r="C77" i="19"/>
  <c r="D77" i="19"/>
  <c r="E77" i="19"/>
  <c r="C78" i="19"/>
  <c r="D78" i="19"/>
  <c r="E78" i="19"/>
  <c r="D79" i="19"/>
  <c r="D80" i="19"/>
  <c r="D81" i="19"/>
  <c r="D82" i="19"/>
  <c r="D83" i="19"/>
  <c r="D84" i="19"/>
  <c r="D85" i="19"/>
  <c r="D86" i="19"/>
  <c r="D87" i="19"/>
  <c r="D88" i="19"/>
  <c r="E88" i="19"/>
  <c r="D89" i="19"/>
  <c r="E89" i="19"/>
  <c r="D90" i="19"/>
  <c r="E90" i="19"/>
  <c r="D91" i="19"/>
  <c r="E91" i="19"/>
  <c r="D92" i="19"/>
  <c r="E92" i="19"/>
  <c r="D93" i="19"/>
  <c r="E93" i="19"/>
  <c r="D94" i="19"/>
  <c r="E94" i="19"/>
  <c r="D95" i="19"/>
  <c r="E95" i="19"/>
  <c r="D96" i="19"/>
  <c r="E96" i="19"/>
  <c r="D97" i="19"/>
  <c r="E97" i="19"/>
  <c r="D98" i="19"/>
  <c r="E98" i="19"/>
  <c r="D99" i="19"/>
  <c r="E99" i="19"/>
  <c r="D100" i="19"/>
  <c r="E100" i="19"/>
  <c r="D101" i="19"/>
  <c r="E101" i="19"/>
  <c r="D102" i="19"/>
  <c r="E102" i="19"/>
  <c r="D103" i="19"/>
  <c r="E103" i="19"/>
  <c r="D104" i="19"/>
  <c r="E104" i="19"/>
  <c r="D105" i="19"/>
  <c r="E105" i="19"/>
  <c r="D106" i="19"/>
  <c r="E106" i="19"/>
  <c r="D107" i="19"/>
  <c r="E107" i="19"/>
  <c r="D108" i="19"/>
  <c r="E108" i="19"/>
  <c r="D109" i="19"/>
  <c r="E109" i="19"/>
  <c r="D110" i="19"/>
  <c r="E110" i="19"/>
  <c r="D111" i="19"/>
  <c r="E111" i="19"/>
  <c r="D112" i="19"/>
  <c r="E112" i="19"/>
  <c r="D113" i="19"/>
  <c r="E113" i="19"/>
  <c r="D114" i="19"/>
  <c r="E114" i="19"/>
  <c r="D115" i="19"/>
  <c r="E115" i="19"/>
  <c r="D116" i="19"/>
  <c r="E116" i="19"/>
  <c r="D117" i="19"/>
  <c r="E117" i="19"/>
  <c r="D118" i="19"/>
  <c r="E118" i="19"/>
  <c r="D119" i="19"/>
  <c r="D120" i="19"/>
  <c r="E120" i="19"/>
  <c r="D121" i="19"/>
  <c r="E121" i="19"/>
  <c r="D122" i="19"/>
  <c r="E122" i="19"/>
  <c r="D123" i="19"/>
  <c r="E123" i="19"/>
  <c r="D124" i="19"/>
  <c r="E124" i="19"/>
  <c r="D125" i="19"/>
  <c r="E125" i="19"/>
  <c r="D126" i="19"/>
  <c r="D127" i="19"/>
  <c r="E127" i="19"/>
  <c r="D128" i="19"/>
  <c r="E128" i="19"/>
  <c r="D129" i="19"/>
  <c r="E129" i="19"/>
  <c r="D130" i="19"/>
  <c r="E130" i="19"/>
  <c r="D131" i="19"/>
  <c r="E131" i="19"/>
  <c r="D132" i="19"/>
  <c r="E132" i="19"/>
  <c r="D133" i="19"/>
  <c r="E133" i="19"/>
  <c r="D134" i="19"/>
  <c r="E134" i="19"/>
  <c r="D135" i="19"/>
  <c r="E135" i="19"/>
  <c r="D136" i="19"/>
  <c r="E136" i="19"/>
  <c r="D137" i="19"/>
  <c r="E137" i="19"/>
  <c r="D138" i="19"/>
  <c r="E138" i="19"/>
  <c r="D139" i="19"/>
  <c r="E139" i="19"/>
  <c r="D140" i="19"/>
  <c r="E140" i="19"/>
  <c r="D141" i="19"/>
  <c r="E141" i="19"/>
  <c r="D142" i="19"/>
  <c r="E142" i="19"/>
  <c r="D143" i="19"/>
  <c r="E143" i="19"/>
  <c r="D144" i="19"/>
  <c r="E144" i="19"/>
  <c r="D145" i="19"/>
  <c r="E145" i="19"/>
  <c r="D146" i="19"/>
  <c r="E146" i="19"/>
  <c r="D147" i="19"/>
  <c r="E147" i="19"/>
  <c r="D148" i="19"/>
  <c r="E148" i="19"/>
  <c r="D149" i="19"/>
  <c r="E149" i="19"/>
  <c r="D150" i="19"/>
  <c r="E150" i="19"/>
  <c r="D151" i="19"/>
  <c r="E151" i="19"/>
  <c r="D152" i="19"/>
  <c r="E152" i="19"/>
  <c r="C2" i="19"/>
  <c r="D2" i="19"/>
  <c r="C3" i="19"/>
  <c r="AR80" i="18"/>
  <c r="C144" i="19"/>
  <c r="AR79" i="18"/>
  <c r="C143" i="19"/>
  <c r="AR77" i="18"/>
  <c r="C141" i="19"/>
  <c r="BR62" i="18"/>
  <c r="C137" i="19"/>
  <c r="BQ62" i="18"/>
  <c r="C136" i="19"/>
  <c r="C132" i="19"/>
  <c r="BL62" i="18"/>
  <c r="C127" i="19"/>
  <c r="C126" i="19"/>
  <c r="BE62" i="18"/>
  <c r="C114" i="19"/>
  <c r="BC62" i="18"/>
  <c r="C112" i="19"/>
  <c r="BD56" i="18"/>
  <c r="C110" i="19"/>
  <c r="AY55" i="18"/>
  <c r="C104" i="19"/>
  <c r="AY53" i="18"/>
  <c r="C102" i="19"/>
  <c r="AY50" i="18"/>
  <c r="C99" i="19"/>
  <c r="AT62" i="18"/>
  <c r="C93" i="19"/>
  <c r="AS62" i="18"/>
  <c r="C92" i="19"/>
  <c r="AS56" i="18"/>
  <c r="C88" i="19"/>
  <c r="E87" i="19"/>
  <c r="E86" i="19"/>
  <c r="E85" i="19"/>
  <c r="E84" i="19"/>
  <c r="E83" i="19"/>
  <c r="E82" i="19"/>
  <c r="E81" i="19"/>
  <c r="E80" i="19"/>
  <c r="CO100" i="18"/>
  <c r="C80" i="19"/>
  <c r="CV2" i="18"/>
  <c r="E3" i="19"/>
  <c r="E2" i="19"/>
  <c r="CM85" i="18"/>
  <c r="AZ80" i="18"/>
  <c r="C152" i="19"/>
  <c r="AZ79" i="18"/>
  <c r="C151" i="19"/>
  <c r="AZ78" i="18"/>
  <c r="C150" i="19"/>
  <c r="AR78" i="18"/>
  <c r="C142" i="19"/>
  <c r="AZ77" i="18"/>
  <c r="C149" i="19"/>
  <c r="CM72" i="18"/>
  <c r="CM71" i="18"/>
  <c r="CM70" i="18"/>
  <c r="CM69" i="18"/>
  <c r="CM68" i="18"/>
  <c r="CM67" i="18"/>
  <c r="CM66" i="18"/>
  <c r="CM65" i="18"/>
  <c r="CM64" i="18"/>
  <c r="CM63" i="18"/>
  <c r="CM62" i="18"/>
  <c r="BU62" i="18"/>
  <c r="C140" i="19"/>
  <c r="BP62" i="18"/>
  <c r="C135" i="19"/>
  <c r="C128" i="19"/>
  <c r="BK62" i="18"/>
  <c r="C124" i="19"/>
  <c r="BJ62" i="18"/>
  <c r="C123" i="19"/>
  <c r="BI62" i="18"/>
  <c r="C122" i="19"/>
  <c r="BH62" i="18"/>
  <c r="C121" i="19"/>
  <c r="BD62" i="18"/>
  <c r="C113" i="19"/>
  <c r="C95" i="19"/>
  <c r="AU62" i="18"/>
  <c r="C94" i="19"/>
  <c r="CM61" i="18"/>
  <c r="CM60" i="18"/>
  <c r="CM59" i="18"/>
  <c r="C108" i="19"/>
  <c r="CM58" i="18"/>
  <c r="C107" i="19"/>
  <c r="CM57" i="18"/>
  <c r="CM56" i="18"/>
  <c r="C131" i="19"/>
  <c r="BL56" i="18"/>
  <c r="C125" i="19"/>
  <c r="C119" i="19"/>
  <c r="C118" i="19"/>
  <c r="BI56" i="18"/>
  <c r="C117" i="19"/>
  <c r="C116" i="19"/>
  <c r="C109" i="19"/>
  <c r="C105" i="19"/>
  <c r="AV56" i="18"/>
  <c r="C91" i="19"/>
  <c r="AU56" i="18"/>
  <c r="C90" i="19"/>
  <c r="AT56" i="18"/>
  <c r="C89" i="19"/>
  <c r="CM55" i="18"/>
  <c r="CM54" i="18"/>
  <c r="CR26" i="18"/>
  <c r="CQ26" i="18"/>
  <c r="CP26" i="18"/>
  <c r="CO141" i="18" a="1"/>
  <c r="CO141" i="18"/>
  <c r="CM53" i="18"/>
  <c r="CM52" i="18"/>
  <c r="AY52" i="18"/>
  <c r="C101" i="19"/>
  <c r="CM51" i="18"/>
  <c r="C83" i="19"/>
  <c r="AY51" i="18"/>
  <c r="C100" i="19"/>
  <c r="CM50" i="18"/>
  <c r="CM49" i="18"/>
  <c r="AY49" i="18"/>
  <c r="C98" i="19"/>
  <c r="CM48" i="18"/>
  <c r="AY48" i="18"/>
  <c r="C97" i="19"/>
  <c r="CM47" i="18"/>
  <c r="BX47" i="18"/>
  <c r="C79" i="19"/>
  <c r="AY47" i="18"/>
  <c r="C96" i="19"/>
  <c r="CM46" i="18"/>
  <c r="CM45" i="18"/>
  <c r="CM44" i="18"/>
  <c r="CM43" i="18"/>
  <c r="CM42" i="18"/>
  <c r="CM41" i="18"/>
  <c r="CM40" i="18"/>
  <c r="CM39" i="18"/>
  <c r="CM38" i="18"/>
  <c r="CM37" i="18"/>
  <c r="CM36" i="18"/>
  <c r="CM35" i="18"/>
  <c r="CM34" i="18"/>
  <c r="CM33" i="18"/>
  <c r="CM32" i="18"/>
  <c r="CM31" i="18"/>
  <c r="CM30" i="18"/>
  <c r="CM29" i="18"/>
  <c r="CM28" i="18"/>
  <c r="CM27" i="18"/>
  <c r="CM26" i="18"/>
  <c r="BY26" i="18"/>
  <c r="BU26" i="18"/>
  <c r="BN26" i="18"/>
  <c r="BM26" i="18"/>
  <c r="BL26" i="18"/>
  <c r="BK26" i="18"/>
  <c r="BJ26" i="18"/>
  <c r="CM25" i="18"/>
  <c r="CM24" i="18"/>
  <c r="CM23" i="18"/>
  <c r="CM22" i="18"/>
  <c r="BG22" i="18"/>
  <c r="BF22" i="18"/>
  <c r="BE22" i="18"/>
  <c r="BB22" i="18"/>
  <c r="BA22" i="18"/>
  <c r="AW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CM21" i="18"/>
  <c r="BX20" i="18"/>
  <c r="BU20" i="18"/>
  <c r="BM20" i="18"/>
  <c r="BL20" i="18"/>
  <c r="BJ20" i="18"/>
  <c r="CS14" i="18"/>
  <c r="CR14" i="18"/>
  <c r="CQ14" i="18"/>
  <c r="CT14" i="18"/>
  <c r="CO80" i="18" a="1"/>
  <c r="CO80" i="18"/>
  <c r="CT8" i="18"/>
  <c r="CS8" i="18"/>
  <c r="CR8" i="18"/>
  <c r="CQ8" i="18"/>
  <c r="CP8" i="18"/>
  <c r="CO70" i="18" a="1"/>
  <c r="CO70" i="18"/>
  <c r="BG16" i="18"/>
  <c r="BF16" i="18"/>
  <c r="BE16" i="18"/>
  <c r="BC16" i="18"/>
  <c r="AY16" i="18"/>
  <c r="AW16" i="18"/>
  <c r="AV16" i="18"/>
  <c r="AU16" i="18"/>
  <c r="AT16" i="18"/>
  <c r="AP16" i="18"/>
  <c r="AO16" i="18"/>
  <c r="AM16" i="18"/>
  <c r="DJ2" i="18"/>
  <c r="DH2" i="18"/>
  <c r="DC2" i="18"/>
  <c r="DB2" i="18"/>
  <c r="DA2" i="18"/>
  <c r="CY2" i="18"/>
  <c r="CX2" i="18"/>
  <c r="CW2" i="18"/>
  <c r="CU2" i="18"/>
  <c r="CS2" i="18"/>
  <c r="W60" i="18"/>
  <c r="W61" i="18"/>
  <c r="S22" i="18"/>
  <c r="CP23" i="18"/>
  <c r="CR2" i="18"/>
  <c r="DG23" i="18"/>
  <c r="CO107" i="18"/>
  <c r="CZ2" i="18"/>
  <c r="CP2" i="18"/>
  <c r="B60" i="19"/>
  <c r="CP14" i="18"/>
  <c r="O61" i="18"/>
  <c r="M62" i="18"/>
  <c r="CY23" i="18"/>
  <c r="CO108" i="18" a="1"/>
  <c r="CO101" i="18"/>
  <c r="B46" i="19"/>
  <c r="AM14" i="18"/>
  <c r="CO105" i="18"/>
  <c r="CO182" i="18"/>
  <c r="F59" i="18"/>
  <c r="B3" i="19"/>
  <c r="DL2" i="18"/>
  <c r="CO108" i="18"/>
  <c r="CT2" i="18"/>
  <c r="CO2" i="18" a="1"/>
  <c r="CO2" i="18"/>
  <c r="B6" i="19"/>
  <c r="F60" i="18"/>
  <c r="F61" i="18"/>
  <c r="D2" i="22"/>
  <c r="C3" i="22"/>
  <c r="DK38" i="18"/>
  <c r="DJ60" i="18"/>
  <c r="CO45" i="18" a="1"/>
  <c r="CO45" i="18"/>
  <c r="CO106" i="18"/>
  <c r="T60" i="18"/>
  <c r="M66" i="18"/>
  <c r="T61" i="18"/>
  <c r="R62" i="18"/>
  <c r="F64" i="18"/>
  <c r="D66" i="18"/>
  <c r="J61" i="18"/>
  <c r="J60" i="18"/>
  <c r="T76" i="18"/>
  <c r="R78" i="18"/>
  <c r="T77" i="18"/>
  <c r="H62" i="18"/>
  <c r="Y60" i="18"/>
  <c r="Y61" i="18"/>
  <c r="L40" i="22"/>
  <c r="F40" i="22"/>
  <c r="D40" i="22"/>
  <c r="E40" i="22"/>
  <c r="L14" i="22"/>
  <c r="F14" i="22"/>
  <c r="L37" i="22"/>
  <c r="F37" i="22"/>
  <c r="L11" i="22"/>
  <c r="F11" i="22"/>
  <c r="L42" i="22"/>
  <c r="F42" i="22"/>
  <c r="L44" i="22"/>
  <c r="F44" i="22"/>
  <c r="D44" i="22"/>
  <c r="E44" i="22"/>
  <c r="L18" i="22"/>
  <c r="F18" i="22"/>
  <c r="L16" i="22"/>
  <c r="F16" i="22"/>
  <c r="D16" i="22"/>
  <c r="E16" i="22"/>
  <c r="L32" i="22"/>
  <c r="F32" i="22"/>
  <c r="L6" i="22"/>
  <c r="F6" i="22"/>
  <c r="L29" i="22"/>
  <c r="F29" i="22"/>
  <c r="L5" i="22"/>
  <c r="F5" i="22"/>
  <c r="L26" i="22"/>
  <c r="F26" i="22"/>
  <c r="L20" i="22"/>
  <c r="F20" i="22"/>
  <c r="D20" i="22"/>
  <c r="E20" i="22"/>
  <c r="L8" i="22"/>
  <c r="F8" i="22"/>
  <c r="L24" i="22"/>
  <c r="F24" i="22"/>
  <c r="L47" i="22"/>
  <c r="F47" i="22"/>
  <c r="L17" i="22"/>
  <c r="F17" i="22"/>
  <c r="L22" i="22"/>
  <c r="F22" i="22"/>
  <c r="L49" i="22"/>
  <c r="F49" i="22"/>
  <c r="L25" i="22"/>
  <c r="F25" i="22"/>
  <c r="D25" i="22"/>
  <c r="E25" i="22"/>
  <c r="L7" i="22"/>
  <c r="F7" i="22"/>
  <c r="L38" i="22"/>
  <c r="F38" i="22"/>
  <c r="L12" i="22"/>
  <c r="F12" i="22"/>
  <c r="L35" i="22"/>
  <c r="F35" i="22"/>
  <c r="D35" i="22"/>
  <c r="E35" i="22"/>
  <c r="L46" i="22"/>
  <c r="F46" i="22"/>
  <c r="L9" i="22"/>
  <c r="F9" i="22"/>
  <c r="L48" i="22"/>
  <c r="F48" i="22"/>
  <c r="D48" i="22"/>
  <c r="E48" i="22"/>
  <c r="L30" i="22"/>
  <c r="F30" i="22"/>
  <c r="D30" i="22"/>
  <c r="E30" i="22"/>
  <c r="L45" i="22"/>
  <c r="F45" i="22"/>
  <c r="L27" i="22"/>
  <c r="F27" i="22"/>
  <c r="L50" i="22"/>
  <c r="F50" i="22"/>
  <c r="L23" i="22"/>
  <c r="F23" i="22"/>
  <c r="D23" i="22"/>
  <c r="E23" i="22"/>
  <c r="L41" i="22"/>
  <c r="F41" i="22"/>
  <c r="L31" i="22"/>
  <c r="F31" i="22"/>
  <c r="D31" i="22"/>
  <c r="E31" i="22"/>
  <c r="L13" i="22"/>
  <c r="F13" i="22"/>
  <c r="L28" i="22"/>
  <c r="F28" i="22"/>
  <c r="D28" i="22"/>
  <c r="E28" i="22"/>
  <c r="L10" i="22"/>
  <c r="F10" i="22"/>
  <c r="L52" i="22"/>
  <c r="F52" i="22"/>
  <c r="L19" i="22"/>
  <c r="F19" i="22"/>
  <c r="D19" i="22"/>
  <c r="E19" i="22"/>
  <c r="L15" i="22"/>
  <c r="F15" i="22"/>
  <c r="L43" i="22"/>
  <c r="F43" i="22"/>
  <c r="L34" i="22"/>
  <c r="F34" i="22"/>
  <c r="L33" i="22"/>
  <c r="F33" i="22"/>
  <c r="D33" i="22"/>
  <c r="E33" i="22"/>
  <c r="L36" i="22"/>
  <c r="F36" i="22"/>
  <c r="D36" i="22"/>
  <c r="E36" i="22"/>
  <c r="L51" i="22"/>
  <c r="F51" i="22"/>
  <c r="L39" i="22"/>
  <c r="F39" i="22"/>
  <c r="D50" i="22"/>
  <c r="E50" i="22"/>
  <c r="D41" i="22"/>
  <c r="E41" i="22"/>
  <c r="D17" i="22"/>
  <c r="E17" i="22"/>
  <c r="D10" i="22"/>
  <c r="E10" i="22"/>
  <c r="D5" i="22"/>
  <c r="E5" i="22"/>
  <c r="D49" i="22"/>
  <c r="E49" i="22"/>
  <c r="D32" i="22"/>
  <c r="E32" i="22"/>
  <c r="D24" i="22"/>
  <c r="E24" i="22"/>
  <c r="D39" i="22"/>
  <c r="E39" i="22"/>
  <c r="D38" i="22"/>
  <c r="E38" i="22"/>
  <c r="D15" i="22"/>
  <c r="E15" i="22"/>
  <c r="D47" i="22"/>
  <c r="E47" i="22"/>
  <c r="D37" i="22"/>
  <c r="E37" i="22"/>
  <c r="D22" i="22"/>
  <c r="E22" i="22"/>
  <c r="D46" i="22"/>
  <c r="E46" i="22"/>
  <c r="D29" i="22"/>
  <c r="E29" i="22"/>
  <c r="D14" i="22"/>
  <c r="E14" i="22"/>
  <c r="D9" i="22"/>
  <c r="E9" i="22"/>
  <c r="D8" i="22"/>
  <c r="E8" i="22"/>
  <c r="D34" i="22"/>
  <c r="E34" i="22"/>
  <c r="D27" i="22"/>
  <c r="E27" i="22"/>
  <c r="D12" i="22"/>
  <c r="E12" i="22"/>
  <c r="D7" i="22"/>
  <c r="E7" i="22"/>
  <c r="D43" i="22"/>
  <c r="E43" i="22"/>
  <c r="D26" i="22"/>
  <c r="E26" i="22"/>
  <c r="D18" i="22"/>
  <c r="E18" i="22"/>
  <c r="D11" i="22"/>
  <c r="E11" i="22"/>
  <c r="D6" i="22"/>
  <c r="E6" i="22"/>
  <c r="F2" i="22"/>
  <c r="K2" i="22"/>
  <c r="W62" i="18"/>
  <c r="BB79" i="19" a="1"/>
  <c r="BB79" i="19"/>
  <c r="CN80" i="18" a="1"/>
  <c r="CN80" i="18"/>
  <c r="Y15" i="18"/>
  <c r="AA15" i="18"/>
  <c r="Z17" i="18"/>
  <c r="T15" i="18"/>
  <c r="V15" i="18"/>
  <c r="U17" i="18"/>
  <c r="Y22" i="18"/>
  <c r="AA22" i="18"/>
  <c r="Z24" i="18"/>
  <c r="T22" i="18"/>
  <c r="V22" i="18"/>
  <c r="U24" i="18"/>
  <c r="K21" i="22"/>
  <c r="K31" i="22"/>
  <c r="K25" i="22"/>
  <c r="K11" i="22"/>
  <c r="K42" i="22"/>
  <c r="K33" i="22"/>
  <c r="K10" i="22"/>
  <c r="K41" i="22"/>
  <c r="K49" i="22"/>
  <c r="K37" i="22"/>
  <c r="K45" i="22"/>
  <c r="K46" i="22"/>
  <c r="K20" i="22"/>
  <c r="K16" i="22"/>
  <c r="K39" i="22"/>
  <c r="K34" i="22"/>
  <c r="K30" i="22"/>
  <c r="K35" i="22"/>
  <c r="K22" i="22"/>
  <c r="K26" i="22"/>
  <c r="K18" i="22"/>
  <c r="K14" i="22"/>
  <c r="K43" i="22"/>
  <c r="K12" i="22"/>
  <c r="K17" i="22"/>
  <c r="K5" i="22"/>
  <c r="K19" i="22"/>
  <c r="K15" i="22"/>
  <c r="K28" i="22"/>
  <c r="K23" i="22"/>
  <c r="K38" i="22"/>
  <c r="K47" i="22"/>
  <c r="K29" i="22"/>
  <c r="K13" i="22"/>
  <c r="K50" i="22"/>
  <c r="K48" i="22"/>
  <c r="K24" i="22"/>
  <c r="K44" i="22"/>
  <c r="K40" i="22"/>
  <c r="K6" i="22"/>
  <c r="K36" i="22"/>
  <c r="K27" i="22"/>
  <c r="K9" i="22"/>
  <c r="K8" i="22"/>
  <c r="K32" i="22"/>
  <c r="D52" i="22"/>
  <c r="E52" i="22"/>
  <c r="K52" i="22"/>
  <c r="D51" i="22"/>
  <c r="E51" i="22"/>
  <c r="E53" i="22"/>
  <c r="K7" i="22"/>
  <c r="F53" i="22"/>
  <c r="B82" i="18"/>
  <c r="H81" i="18"/>
  <c r="B92" i="18"/>
  <c r="H92" i="18"/>
  <c r="H91" i="18"/>
  <c r="D53" i="22"/>
  <c r="K51" i="22"/>
  <c r="K53" i="22"/>
  <c r="H82" i="18"/>
  <c r="H66" i="18"/>
  <c r="J66" i="18"/>
  <c r="I66" i="18"/>
  <c r="K66" i="1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<sst xmlns="http://schemas.openxmlformats.org/spreadsheetml/2006/main" count="608" uniqueCount="332">
  <si>
    <t>CODIGO LAMINA</t>
  </si>
  <si>
    <t>LAMINA 0,195                                                                                                                               VIRGEN</t>
  </si>
  <si>
    <t>STEEL FORCE</t>
  </si>
  <si>
    <t>JINTAI</t>
  </si>
  <si>
    <t>SUXUN</t>
  </si>
  <si>
    <t>INV. SEM 4</t>
  </si>
  <si>
    <t xml:space="preserve">INVEN INIC       SEM  </t>
  </si>
  <si>
    <t>LAM</t>
  </si>
  <si>
    <t>CONTROL PRODUCCION SEMANA 21 - 2026</t>
  </si>
  <si>
    <t>CANT PROGRAMADA</t>
  </si>
  <si>
    <t>LUNES</t>
  </si>
  <si>
    <t>MARTES</t>
  </si>
  <si>
    <t>MIÉRCOLES</t>
  </si>
  <si>
    <t>JUEVES</t>
  </si>
  <si>
    <t>VIERNES</t>
  </si>
  <si>
    <t>SÁBADO</t>
  </si>
  <si>
    <t>DOMINGO</t>
  </si>
  <si>
    <t>TOTAL SEMANA</t>
  </si>
  <si>
    <t xml:space="preserve">TAPA </t>
  </si>
  <si>
    <t>LAMINA</t>
  </si>
  <si>
    <t>REFERENCIA LAMINA</t>
  </si>
  <si>
    <t xml:space="preserve"> LAMINA CROM  </t>
  </si>
  <si>
    <t>MATERIAL</t>
  </si>
  <si>
    <t>DESCRIPCIÓN</t>
  </si>
  <si>
    <t>TOTAL</t>
  </si>
  <si>
    <t>UN</t>
  </si>
  <si>
    <t>TAPA AGUILA ORIGINAL GENERICA</t>
  </si>
  <si>
    <t xml:space="preserve">LAMINA AGUILA AZUL TIPO D 0.195 </t>
  </si>
  <si>
    <t>TAPA AGUILA LIGHT R GENERICA</t>
  </si>
  <si>
    <t>LAMINA AGUILA LIGHT TIPO D 0.195 330</t>
  </si>
  <si>
    <t xml:space="preserve">CODIGO </t>
  </si>
  <si>
    <t xml:space="preserve">INVENTARIO DE LAMINA TERMINADA </t>
  </si>
  <si>
    <t xml:space="preserve">COD TAPA </t>
  </si>
  <si>
    <t>NUMERO LAM</t>
  </si>
  <si>
    <t>NUMERO PAQ</t>
  </si>
  <si>
    <t>CONSUMO SEM</t>
  </si>
  <si>
    <t xml:space="preserve"> (FABRICACION)</t>
  </si>
  <si>
    <t>PROCESO</t>
  </si>
  <si>
    <t xml:space="preserve">INV. INICIAL    </t>
  </si>
  <si>
    <t>CONSUMO REAL</t>
  </si>
  <si>
    <t>TAPA AGUILA LIGHT 330 R CI PRECIO 2200</t>
  </si>
  <si>
    <t xml:space="preserve">LAMINA ÁGUILA LIGHT 330 PS TIPO D  0.195 </t>
  </si>
  <si>
    <t>TAPA POKER 330R CI</t>
  </si>
  <si>
    <t xml:space="preserve">LAMINA POKER ROJA TIPO D 0.195 </t>
  </si>
  <si>
    <t>TAPA PRY OFF CLOVER 320 CC PRECIO 2000</t>
  </si>
  <si>
    <r>
      <rPr>
        <sz val="10"/>
        <color rgb="FF000000"/>
        <rFont val="Calibri"/>
        <family val="2"/>
      </rPr>
      <t>LAMINA COSTEÑA BACANA 2000 TP D 0.195</t>
    </r>
    <r>
      <rPr>
        <b/>
        <sz val="10"/>
        <color rgb="FF000000"/>
        <rFont val="Calibri"/>
        <family val="2"/>
      </rPr>
      <t xml:space="preserve"> </t>
    </r>
  </si>
  <si>
    <t>TAPA NATIVA 330</t>
  </si>
  <si>
    <t>LAMINA NATIVA SUR TIPO D 0.195</t>
  </si>
  <si>
    <t>TAPA COLA &amp; POLA ND LG IMG</t>
  </si>
  <si>
    <t>LAMINA COLA &amp; POLA TIPO D 0.195</t>
  </si>
  <si>
    <t>TAPA EVENTO YO ME CUIDO PERU</t>
  </si>
  <si>
    <t xml:space="preserve">LAMINA YO ME CUIDO PERU  TIPO D 0.195 </t>
  </si>
  <si>
    <t>TAPA YO ME CUIDO PERU ST</t>
  </si>
  <si>
    <t xml:space="preserve">LAMINA YO ME CUIDO PERU ST TIPO D 0.195 </t>
  </si>
  <si>
    <t>TAPA GOLDEN PERU</t>
  </si>
  <si>
    <t>LAMINA GOLDEN TIPO D 0.195</t>
  </si>
  <si>
    <t>TAPA CUSQUEÑA CALIDAD PERU</t>
  </si>
  <si>
    <t>LAMINA CUSQUEÑA CALIDAD TIPO D 0.195</t>
  </si>
  <si>
    <t>TAPA CLUB COL ROJA R NEW VBI</t>
  </si>
  <si>
    <t>LAMINA CC ROJA TIPO D 0.195 NEW VBI</t>
  </si>
  <si>
    <t>TAPA CLUB COL NG R NEW VBI</t>
  </si>
  <si>
    <t>LAMINA CC NEGRA TIPO D 0.195 NEW VBI</t>
  </si>
  <si>
    <t>TAPA CLUB COL DRDA R NEW VBI</t>
  </si>
  <si>
    <t>LAMINA TIPO D 0.195 CLUB COLOM NEW VBI</t>
  </si>
  <si>
    <t>TAPA CLUB COL DOBLE MALTA 330R FEST</t>
  </si>
  <si>
    <t>LAMINA CC OKTOBERFEST TIPOD 0.195</t>
  </si>
  <si>
    <t>TAPA BUDWEISER RB PRY OFF 250CC</t>
  </si>
  <si>
    <t>LAMINA BUDWEISER TW TIPO D 0.195</t>
  </si>
  <si>
    <t>TAPA PONY MALTA GENERICA N CI</t>
  </si>
  <si>
    <t>LAMINA PONY ROJA CI TIPO D 0.195</t>
  </si>
  <si>
    <t>TAPA COSTEÑITA RET CBARRAS LG</t>
  </si>
  <si>
    <t xml:space="preserve">LAMINA COSTEÑITA CBARRAS LG TIPOD.0.195 </t>
  </si>
  <si>
    <t>TAPA COSTEÑA 330R/750R</t>
  </si>
  <si>
    <t>LAMINA COSTEÑA ROJA TIPO D0.195</t>
  </si>
  <si>
    <t>TAPA CORONA 355 MONOLABIAL</t>
  </si>
  <si>
    <t>LAMINA CORONA MARTE TIPO D 0.195</t>
  </si>
  <si>
    <t xml:space="preserve"> </t>
  </si>
  <si>
    <t>TAPA BBC LG</t>
  </si>
  <si>
    <t>LAMINA BBC LG TIPOD.0.195</t>
  </si>
  <si>
    <t>TAPA AGUILA ORIGINAL NRB</t>
  </si>
  <si>
    <t>LAMINA AGUILA ORIGINAL NV TIPO D0.195</t>
  </si>
  <si>
    <t>TAPA CORONA OLIMPICS</t>
  </si>
  <si>
    <t>LAMINA CORONA OLIMPICOS TIPO D 0.195</t>
  </si>
  <si>
    <t>CUSQUEÑA</t>
  </si>
  <si>
    <t>TAPA AGUILA LIGHT NRB</t>
  </si>
  <si>
    <t>LAMINA AGUILA LIGHT NV TIPO D0.195</t>
  </si>
  <si>
    <t>YO ME CUIDO</t>
  </si>
  <si>
    <t>TAPA CLUB COL TRIGO 330 R</t>
  </si>
  <si>
    <t>LAMINA CLUB COLOMBIA TRIGO TIPO D0.195</t>
  </si>
  <si>
    <t>TAPA AGUILA COPA AMERICA</t>
  </si>
  <si>
    <t>LAMINA AGUILA COPA AMERICA TIPO D0.195</t>
  </si>
  <si>
    <t>TAPA TOUR AGUILA 330</t>
  </si>
  <si>
    <t>LAMINA UV TOUR AGUILA TIPO D0.195</t>
  </si>
  <si>
    <t>LAMINA COV TOUR AGUILA TIPO D0.195</t>
  </si>
  <si>
    <t>19 YO ME CUIDO</t>
  </si>
  <si>
    <t>TAPA AGUILA IMPERIAL 330 R</t>
  </si>
  <si>
    <t>LAMINA AGUILA IMPERIAL TIPO D0.195</t>
  </si>
  <si>
    <t>17 CUSQUEÑA</t>
  </si>
  <si>
    <t>TAPA CORONA CERO MX</t>
  </si>
  <si>
    <t>LAMINA CORONA CERO TIPO D 0,195</t>
  </si>
  <si>
    <t>TAPA COSTEÑA LA VIDA BACANA</t>
  </si>
  <si>
    <t>LAMINA COSTEÑA LA VIDA BACANA</t>
  </si>
  <si>
    <t>TAPA AGUILA EL CARIBE</t>
  </si>
  <si>
    <t>LAMINA AGUILA CARIBE</t>
  </si>
  <si>
    <t>LAMINA AGUILA EL CARIBE  D 0.195</t>
  </si>
  <si>
    <t>TAPA REDDS CITRUS</t>
  </si>
  <si>
    <t>LAMINA REDDS CITRUS  UV 0.195</t>
  </si>
  <si>
    <t>TAPA AGUILA GOLES</t>
  </si>
  <si>
    <t>LAMINA AGUILA GOLES UV TIPO D0.195</t>
  </si>
  <si>
    <t>TAPA CLUB PREMIUM CLASICA</t>
  </si>
  <si>
    <t>LAMINA CLUB PREMIUM CLASICA TIPO D 0.195</t>
  </si>
  <si>
    <t>TAPA COLA &amp; POLA NUEVA IMAGEN</t>
  </si>
  <si>
    <t>LAMINA COLA &amp; POLA UV TIPO D0.195</t>
  </si>
  <si>
    <t>TAPA NUTRI MALTA</t>
  </si>
  <si>
    <t>LAMINA NUTRI MALTA D 0.195</t>
  </si>
  <si>
    <t>TAPA PONY MALTA GO</t>
  </si>
  <si>
    <t>LAMINA PONY MALTA GO 0.195</t>
  </si>
  <si>
    <t>TAPA PILSEN FRASES</t>
  </si>
  <si>
    <t>LAMINA PILSEN FRASES TIPO D0.195</t>
  </si>
  <si>
    <t>TAPA NUESTRA SIEMBRA</t>
  </si>
  <si>
    <t>LAMINA NUESTRA SIEMBRA D 0.195</t>
  </si>
  <si>
    <t>TAPA PONY MALTA ANTOJO</t>
  </si>
  <si>
    <t>LAMINA PONY MALTA ANTOJOS 0.195</t>
  </si>
  <si>
    <t>TAPA AGUILA LIGHT PROMO ALFA</t>
  </si>
  <si>
    <t>LAMINA AGUILA LGT PROMO ALFA TIP D 0.195</t>
  </si>
  <si>
    <t>TAPA CLUB ESMERALDA PROM DTR</t>
  </si>
  <si>
    <t>LAMINA CLUB ESMERALDA PROMOCION 0.195</t>
  </si>
  <si>
    <t>TAPA PROMOCION COSTENA BACANA CENTRO</t>
  </si>
  <si>
    <t>LAMINA COSTEÑA BACANA CENTRO TIPO D 0.195</t>
  </si>
  <si>
    <t>TAPA RENOVATION POKER</t>
  </si>
  <si>
    <t>LAMINA POKER RENOVACION</t>
  </si>
  <si>
    <t>LAMINA PILSENER ECUADOR TW TIPO D 0.195</t>
  </si>
  <si>
    <t>TAPA GENERICA PO 0.195 ECUADOR</t>
  </si>
  <si>
    <t>LAMINA GENERICA PO ECUADOR CONVENCIONAL</t>
  </si>
  <si>
    <t>TAPA PILSENER</t>
  </si>
  <si>
    <t>LAMINA PILSENER TIPO D 0.195</t>
  </si>
  <si>
    <t>LAMINA AGUILA MF 2026 CONV TIPO D 0,195</t>
  </si>
  <si>
    <t>TAPA CLUB PREMIUM TW ECUADOR</t>
  </si>
  <si>
    <t>LAMINA CLUB PREMIUM TW ECUADOR D0.195</t>
  </si>
  <si>
    <t>LAMINA AGUILA MF 2026 UV TIPO D 0,195</t>
  </si>
  <si>
    <t>TAPA PONY MALTA TW LG</t>
  </si>
  <si>
    <t>LAMINA PONY MALTA TW</t>
  </si>
  <si>
    <t>LAMINA POKER 330/750R TIPO A LG</t>
  </si>
  <si>
    <t>LAMINA COSTEÑITA TIPO D</t>
  </si>
  <si>
    <t>LAMINA POKER ROJA RET LG TIPO D 0,17</t>
  </si>
  <si>
    <t>TAPA REDDS 330R LG FASE II</t>
  </si>
  <si>
    <t>LAMINA REDDS TIPO D LG FASE II</t>
  </si>
  <si>
    <t>LAMINA CLUB PREMIUM RET TIPO D 0,17 ECU</t>
  </si>
  <si>
    <t>TAPA PACIFICO CLARA PERU</t>
  </si>
  <si>
    <t xml:space="preserve">LAMINA PACIFICO  PERU </t>
  </si>
  <si>
    <t>TAPA ESPIGA POKER PURA MALTA 330 NR BBC</t>
  </si>
  <si>
    <t xml:space="preserve">LAMINA POKER BBC PURAMALTA TIPO D 0.17 </t>
  </si>
  <si>
    <t>TAPA SALVA VIDAS HONDURAS</t>
  </si>
  <si>
    <t>LAMINA SALVA VIDAS TIPO D0.17</t>
  </si>
  <si>
    <t>LAMINA PILSENER TIPO D 0.17</t>
  </si>
  <si>
    <t>TAPA PILSENER LIGHT</t>
  </si>
  <si>
    <t>LAMINA PILSENER LIGHT D 0.17</t>
  </si>
  <si>
    <t>LAMINA CLUB PREMIUM CLASICA TIPO D 0.17</t>
  </si>
  <si>
    <t>LAMINA PILSENER LIGHT D 0.195</t>
  </si>
  <si>
    <t>TAPA MCHELOB ULTRA NRB 330</t>
  </si>
  <si>
    <t>LAMINA MCHELOB ULTRA NRB 330 TIPO D0.195</t>
  </si>
  <si>
    <t>TAPA TEST</t>
  </si>
  <si>
    <t>LAMINA TAPA TEST CONV TIPO D0.195</t>
  </si>
  <si>
    <t>LAMINA TAPA TEST UV TIPO D0.195</t>
  </si>
  <si>
    <t>TAPA PILSENER MUNDIAL ECUADOR</t>
  </si>
  <si>
    <t>LAMINA TIPO D PILSENER MUNDIAL ECUADOR</t>
  </si>
  <si>
    <t>LAMINA TIPO D PILSENER UV MUNDIAL EC</t>
  </si>
  <si>
    <t>TAPA PILSEN GENERICA LG</t>
  </si>
  <si>
    <t>LAMINA PILSEN GENERICA TIP D 0.195</t>
  </si>
  <si>
    <t>TAPA PILSEN 750 RET LG</t>
  </si>
  <si>
    <t>TAPA CORONA EXTRA ECUADOR</t>
  </si>
  <si>
    <t>TAPA AGUILA MF 2026    213994    LINEA  213995</t>
  </si>
  <si>
    <t xml:space="preserve">SALIDA DE MONTACARGAS </t>
  </si>
  <si>
    <t>DESCRIPCION</t>
  </si>
  <si>
    <t xml:space="preserve">CONSUMO </t>
  </si>
  <si>
    <t>DESCRIPCION CONSUMO</t>
  </si>
  <si>
    <t>CODIGO</t>
  </si>
  <si>
    <t>CANTIDAD</t>
  </si>
  <si>
    <t>N/A</t>
  </si>
  <si>
    <t>LAM BASE BLANCA LACA OXY TIPO 0.195</t>
  </si>
  <si>
    <t>LAM SIZING ALUM LACA OXY TIPO D 0.195</t>
  </si>
  <si>
    <t xml:space="preserve">BAÑOS HOMBRES </t>
  </si>
  <si>
    <t>ALMACEN  DE BASES Y RECUBRIMIENTOS BT04</t>
  </si>
  <si>
    <t>ALMACEN  DE BASES Y RECUBRIMIENTOS BT08</t>
  </si>
  <si>
    <t>CUARTO DE GANCHOS</t>
  </si>
  <si>
    <t xml:space="preserve">CUARTO DE LUBRICANTES </t>
  </si>
  <si>
    <t>CUARTO DE COMPRESORES</t>
  </si>
  <si>
    <t>LAMINA GEN BASE BLANCA LACADA TIPO D 0.195</t>
  </si>
  <si>
    <t xml:space="preserve">BODEGA DE MOTORES </t>
  </si>
  <si>
    <t xml:space="preserve">CUARTO DE PLANCHAS </t>
  </si>
  <si>
    <t xml:space="preserve">ALMACEN DE TINTAS </t>
  </si>
  <si>
    <t>CENTRO DE CONFIABILIDAD</t>
  </si>
  <si>
    <t xml:space="preserve">LABORATORIO </t>
  </si>
  <si>
    <t xml:space="preserve">CENTRO DE ACOPIO 1 </t>
  </si>
  <si>
    <t>SALIDA EMERGENCIA</t>
  </si>
  <si>
    <t>BASE DORADA LACADA 0.195</t>
  </si>
  <si>
    <t>BAÑOS MUJERES</t>
  </si>
  <si>
    <t xml:space="preserve">ALMACEN DE REPUESTOS </t>
  </si>
  <si>
    <t>CUARTO DE RODILLOS</t>
  </si>
  <si>
    <t>LAMINA LACADA BBC LG TIPO D0.195</t>
  </si>
  <si>
    <t>LAMINA GEN LACADA TIPO D 0,195</t>
  </si>
  <si>
    <t>LAMINA GEN LACADA SIZING TIPO D 0,195</t>
  </si>
  <si>
    <t xml:space="preserve">ENFERMERIA </t>
  </si>
  <si>
    <t>LAMINA BASE AGUILA LACA TIPO D 0.195</t>
  </si>
  <si>
    <t>VOLTEADOR DE LAMINA</t>
  </si>
  <si>
    <t xml:space="preserve">LINEA DE REVISION </t>
  </si>
  <si>
    <t>LAMINA LACADA SIZING PROM TIPO D 0.195</t>
  </si>
  <si>
    <t>MACULATURA</t>
  </si>
  <si>
    <t>LAM BASE BLANCA LACADA TIPO D 0,17</t>
  </si>
  <si>
    <t>ZONA DE DESTAPE</t>
  </si>
  <si>
    <t>SACMI  1 - 2</t>
  </si>
  <si>
    <t>SACMI  3 - 4</t>
  </si>
  <si>
    <t>LAM SIZING ALUM LACA OXY TIPO D 0.17</t>
  </si>
  <si>
    <t>M</t>
  </si>
  <si>
    <t>LAM GEN BASE AGUILA LACA TIPO D LG 0.17</t>
  </si>
  <si>
    <t>PRODUCTO</t>
  </si>
  <si>
    <t>INVENTARIO</t>
  </si>
  <si>
    <t>ACUMULADO</t>
  </si>
  <si>
    <t>INVENTARIO ACTUAL</t>
  </si>
  <si>
    <t>L1</t>
  </si>
  <si>
    <t>LAM GENERICA BASE DORADA AGUILA LIGHT</t>
  </si>
  <si>
    <t>NOTAS RAPIDAS</t>
  </si>
  <si>
    <t>L2</t>
  </si>
  <si>
    <r>
      <t xml:space="preserve">LAM GEN SIZING T/RENTE LACATIP </t>
    </r>
    <r>
      <rPr>
        <sz val="11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LG 0.17</t>
    </r>
  </si>
  <si>
    <t>NUMERO DE CAJAS</t>
  </si>
  <si>
    <t>LAMINA LACADA TIPO D LG 0,17</t>
  </si>
  <si>
    <t>L3</t>
  </si>
  <si>
    <r>
      <t>LAMINA LACADA TIPO</t>
    </r>
    <r>
      <rPr>
        <sz val="11"/>
        <color rgb="FF000000"/>
        <rFont val="Calibri"/>
        <family val="2"/>
      </rPr>
      <t xml:space="preserve"> A</t>
    </r>
    <r>
      <rPr>
        <sz val="10"/>
        <color rgb="FF000000"/>
        <rFont val="Calibri"/>
        <family val="2"/>
      </rPr>
      <t xml:space="preserve"> LG 0,17</t>
    </r>
  </si>
  <si>
    <t>CLUB COLOMBIA MALA IMPRESION</t>
  </si>
  <si>
    <t>COLA Y POLA</t>
  </si>
  <si>
    <t>BASE BEIGE</t>
  </si>
  <si>
    <t>PILSENER LACADA + SIZING</t>
  </si>
  <si>
    <t>PILSENER</t>
  </si>
  <si>
    <t>COSTEÑITA CB</t>
  </si>
  <si>
    <t xml:space="preserve">ÁGUILA ORIGINAL </t>
  </si>
  <si>
    <t>LAM BASE DORADA SIZINGLACA TIPO D 0.17</t>
  </si>
  <si>
    <t>SACMI  5 - 6</t>
  </si>
  <si>
    <t>SACMI  7 - 8</t>
  </si>
  <si>
    <t>MEDIDA MACULATURA</t>
  </si>
  <si>
    <t>LAM GEN SIZING T/RENTE LACA TIPO D LG 0.17</t>
  </si>
  <si>
    <t>LAM BASE BAIGE</t>
  </si>
  <si>
    <t>COSTEÑA BACANA CENTRO</t>
  </si>
  <si>
    <t>LIGHT</t>
  </si>
  <si>
    <t>TEST</t>
  </si>
  <si>
    <t>NATIVA</t>
  </si>
  <si>
    <t xml:space="preserve">LACADA ALUMINAZADA PARA ÁGUILA </t>
  </si>
  <si>
    <r>
      <rPr>
        <sz val="10"/>
        <color rgb="FF000000"/>
        <rFont val="Calibri"/>
        <family val="2"/>
      </rPr>
      <t>LAMINA ÁGUILA 330 PS TIPO D  0.195</t>
    </r>
    <r>
      <rPr>
        <sz val="10"/>
        <color rgb="FFFF0000"/>
        <rFont val="Calibri"/>
        <family val="2"/>
      </rPr>
      <t xml:space="preserve"> </t>
    </r>
  </si>
  <si>
    <t>NIPÓN</t>
  </si>
  <si>
    <t xml:space="preserve">CLUB </t>
  </si>
  <si>
    <t>LACADA PARA POKER</t>
  </si>
  <si>
    <t xml:space="preserve">BASE BLANCA PONY </t>
  </si>
  <si>
    <t xml:space="preserve">ALMACEN BT08 TINTAS </t>
  </si>
  <si>
    <t xml:space="preserve">LAMINA PILSEN QR TADA TIPO D 0.195  </t>
  </si>
  <si>
    <t>TEST CON AMARILLOS</t>
  </si>
  <si>
    <t>RASSELSTEIN</t>
  </si>
  <si>
    <t xml:space="preserve">RASSELSTEIN </t>
  </si>
  <si>
    <t>LACA + BASE BLANCA RASELSTEIN</t>
  </si>
  <si>
    <t>LACA 0.17</t>
  </si>
  <si>
    <t>LACADA + SIZING</t>
  </si>
  <si>
    <t>0.17 LACADA +SIZING</t>
  </si>
  <si>
    <t>OXIDADA</t>
  </si>
  <si>
    <t>REFERENCIA</t>
  </si>
  <si>
    <t>FISICO</t>
  </si>
  <si>
    <t>SAP</t>
  </si>
  <si>
    <t>BLO</t>
  </si>
  <si>
    <t xml:space="preserve">PNC LAMINA </t>
  </si>
  <si>
    <t>OFICINA ASL, SLI</t>
  </si>
  <si>
    <t>M-M</t>
  </si>
  <si>
    <t>DEFECTOS</t>
  </si>
  <si>
    <t>2 saldos uno grande uno 200 ñam</t>
  </si>
  <si>
    <t xml:space="preserve">  STEEL FORCE </t>
  </si>
  <si>
    <t xml:space="preserve"> JINTAI D 0,195</t>
  </si>
  <si>
    <t>TIPO A</t>
  </si>
  <si>
    <t xml:space="preserve">JINTAI D 0,17 </t>
  </si>
  <si>
    <t>SUXUN  1500</t>
  </si>
  <si>
    <t xml:space="preserve">RASELSTEIN 0.17 </t>
  </si>
  <si>
    <t>MOLIDO DE PVC</t>
  </si>
  <si>
    <t>PROVEEDOR</t>
  </si>
  <si>
    <t xml:space="preserve">UNIDADES </t>
  </si>
  <si>
    <t xml:space="preserve">PESO </t>
  </si>
  <si>
    <t>KILOGRAMOS</t>
  </si>
  <si>
    <t>LAMINA VIRGEN TIPO D</t>
  </si>
  <si>
    <t>LAMINA EN PROCESO</t>
  </si>
  <si>
    <t>LAMINA  TERMINADA</t>
  </si>
  <si>
    <t>TOTAL CAPACIDAD FABRICA</t>
  </si>
  <si>
    <t xml:space="preserve">TIPO A </t>
  </si>
  <si>
    <t>CAPACIDAD</t>
  </si>
  <si>
    <t xml:space="preserve">CAPACIDAD </t>
  </si>
  <si>
    <t>CAPACIDAD:</t>
  </si>
  <si>
    <t>TROQUELADORA</t>
  </si>
  <si>
    <t>JINTAI 0,195</t>
  </si>
  <si>
    <t>JINTAI 0.17</t>
  </si>
  <si>
    <t>SE ENCUENTRA EN LA JAULA DE PRODUCTO BLOQUEADO</t>
  </si>
  <si>
    <t>RASSELSTEIN 0.17</t>
  </si>
  <si>
    <t>OCUPACION</t>
  </si>
  <si>
    <t>SE ENCUENTRA FRENTE A LA JAULA</t>
  </si>
  <si>
    <t>SE ENCUENTRA EN PROCESO DE RECUPERACION POR SIZING ALUMINIO</t>
  </si>
  <si>
    <t>NIVELES DE VARIACION X PAQUETES</t>
  </si>
  <si>
    <t>COBERTURA LAMINA TERMINADA EN DIAS</t>
  </si>
  <si>
    <t>SIMULACION DE INGRESO SOBRE CONSUMOS</t>
  </si>
  <si>
    <t>SE ENCUENTRA COMO LAMINA BLOQUEADA</t>
  </si>
  <si>
    <t xml:space="preserve">TOTAL TIPO D </t>
  </si>
  <si>
    <t>INGRESOS</t>
  </si>
  <si>
    <t>PRODUCCION</t>
  </si>
  <si>
    <t>SE ENCUENTRA EN LOS MODULOS DE LAMINA EN PROCESO</t>
  </si>
  <si>
    <t>TOTAL TIPO A</t>
  </si>
  <si>
    <t>LAMINAS</t>
  </si>
  <si>
    <t>PAQUETES</t>
  </si>
  <si>
    <t>REGISTRO DE KARDEX INVENTARIO UNIDADES DE LAMINA</t>
  </si>
  <si>
    <t>REGISTRO DE KARDEX INVENTARIO KG DE LAMINA</t>
  </si>
  <si>
    <t>ESTADO AL 25-03-2026</t>
  </si>
  <si>
    <t xml:space="preserve">INVENTARIO INIC DE LAMINA TIPO D </t>
  </si>
  <si>
    <t xml:space="preserve">LAMINA TROQUELADA DESDE 10 PM </t>
  </si>
  <si>
    <t>CANTIDAD TROQUELADORA</t>
  </si>
  <si>
    <t xml:space="preserve">CONSUMOS </t>
  </si>
  <si>
    <t xml:space="preserve">LINEA </t>
  </si>
  <si>
    <t>SKU</t>
  </si>
  <si>
    <t>SACMI 1</t>
  </si>
  <si>
    <t>BLOQUEADOS</t>
  </si>
  <si>
    <t>SACMI 2</t>
  </si>
  <si>
    <t>SACMI 3</t>
  </si>
  <si>
    <t>LLEGADAS</t>
  </si>
  <si>
    <t>SACMI 4</t>
  </si>
  <si>
    <t>PRIMER CAMBIO DE MARCA</t>
  </si>
  <si>
    <t>SEGUNDO CAMBIO DE MARCA</t>
  </si>
  <si>
    <t>ACTUAL</t>
  </si>
  <si>
    <t xml:space="preserve">INVENTARIO INICIAL LAMINA TIPO A </t>
  </si>
  <si>
    <t>24 DIAS DE COBERTURA SEGÚN CAPACIDAD LAMINA TERMINADA</t>
  </si>
  <si>
    <t>DESCCRIPCION</t>
  </si>
  <si>
    <t>MODULO</t>
  </si>
  <si>
    <t>BASE DORADA</t>
  </si>
  <si>
    <t>78-73-76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</si>
</sst>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"/>
    <numFmt numFmtId="165" formatCode="d/m"/>
    <numFmt numFmtId="166" formatCode="0.0000000"/>
    <numFmt numFmtId="167" formatCode="0.0"/>
    <numFmt numFmtId="168" formatCode="_-* #,##0\ _€_-;\-* #,##0\ _€_-;_-* &quot;-&quot;??\ _€_-;_-@_-"/>
    <numFmt numFmtId="169" formatCode="dd/mmm/yy"/>
  </numFmts>
  <fonts count="66" x14ac:knownFonts="1">
    <font>
      <sz val="11"/>
      <name val="Arial"/>
    </font>
    <font>
      <sz val="11"/>
      <color theme="1"/>
      <name val="Arial"/>
      <family val="2"/>
      <scheme val="minor"/>
    </font>
    <font>
      <sz val="11"/>
      <name val="Arial"/>
      <family val="2"/>
    </font>
    <font>
      <sz val="11"/>
      <name val="Arial"/>
      <family val="2"/>
    </font>
    <font>
      <b/>
      <sz val="28"/>
      <color rgb="FF000000"/>
      <name val="Calibri"/>
      <family val="2"/>
    </font>
    <font>
      <b/>
      <sz val="26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theme="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26"/>
      <color rgb="FFFF00FF"/>
      <name val="Calibri"/>
      <family val="2"/>
    </font>
    <font>
      <sz val="11"/>
      <color rgb="FF000000"/>
      <name val="Aptos Narrow"/>
      <family val="2"/>
    </font>
    <font>
      <sz val="11"/>
      <color rgb="FF000000"/>
      <name val="Arial"/>
      <family val="2"/>
    </font>
    <font>
      <b/>
      <sz val="8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  <font>
      <sz val="26"/>
      <color rgb="FF000000"/>
      <name val="Calibri"/>
      <family val="2"/>
    </font>
    <font>
      <sz val="10"/>
      <color rgb="FFFF0000"/>
      <name val="Calibri"/>
      <family val="2"/>
    </font>
    <font>
      <b/>
      <sz val="20"/>
      <color rgb="FF000000"/>
      <name val="Calibri"/>
      <family val="2"/>
    </font>
    <font>
      <sz val="28"/>
      <color rgb="FF000000"/>
      <name val="Aptos Narrow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sz val="11"/>
      <color theme="0"/>
      <name val="Arial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charset val="1"/>
      <scheme val="minor"/>
    </font>
    <font>
      <b/>
      <sz val="26"/>
      <color theme="1"/>
      <name val="Calibri"/>
      <family val="2"/>
    </font>
    <font>
      <b/>
      <sz val="8"/>
      <name val="Arial"/>
      <family val="2"/>
    </font>
    <font>
      <b/>
      <sz val="11"/>
      <color theme="1"/>
      <name val="Calibri"/>
      <family val="2"/>
    </font>
    <font>
      <b/>
      <sz val="8"/>
      <color theme="1"/>
      <name val="Arial"/>
      <family val="2"/>
    </font>
    <font>
      <sz val="14"/>
      <color theme="1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Arial"/>
      <family val="2"/>
    </font>
    <font>
      <b/>
      <sz val="12"/>
      <color theme="0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  <scheme val="minor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  <scheme val="minor"/>
    </font>
    <font>
      <b/>
      <sz val="12"/>
      <color indexed="8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8"/>
      <name val="Arial"/>
      <family val="2"/>
      <scheme val="minor"/>
    </font>
    <font>
      <b/>
      <sz val="12"/>
      <name val="Arial"/>
      <family val="2"/>
      <scheme val="minor"/>
    </font>
    <font>
      <sz val="10"/>
      <name val="Arial"/>
      <family val="2"/>
    </font>
    <font>
      <sz val="11"/>
      <name val="Arial"/>
      <family val="2"/>
    </font>
  </fonts>
  <fills count="6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D9F2D0"/>
        <bgColor rgb="FFD9F2D0"/>
      </patternFill>
    </fill>
    <fill>
      <patternFill patternType="solid">
        <fgColor rgb="FFFFFF00"/>
        <bgColor indexed="64"/>
      </patternFill>
    </fill>
    <fill>
      <patternFill patternType="solid">
        <fgColor rgb="FF83E391"/>
        <bgColor rgb="FF83E391"/>
      </patternFill>
    </fill>
    <fill>
      <patternFill patternType="solid">
        <fgColor rgb="FFFF9900"/>
        <bgColor rgb="FFFF9900"/>
      </patternFill>
    </fill>
    <fill>
      <patternFill patternType="solid">
        <fgColor rgb="FFC1F1C8"/>
        <bgColor rgb="FFC1F1C8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4D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rgb="FF75707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4.9989318521683403E-2"/>
        <bgColor rgb="FF757070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8" tint="0.59999389629810485"/>
        <bgColor rgb="FFBDD6EE"/>
      </patternFill>
    </fill>
    <fill>
      <patternFill patternType="solid">
        <fgColor theme="4" tint="0.79995117038483843"/>
        <bgColor rgb="FFD9F2D0"/>
      </patternFill>
    </fill>
    <fill>
      <patternFill patternType="solid">
        <fgColor theme="0" tint="-4.9989318521683403E-2"/>
        <bgColor rgb="FF75707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AE3AF"/>
        <bgColor rgb="FFFAE3AF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B0B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2" tint="-0.249977111117893"/>
        <bgColor rgb="FFC0E4F5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CDADA"/>
        <bgColor rgb="FF000000"/>
      </patternFill>
    </fill>
    <fill>
      <patternFill patternType="solid">
        <fgColor theme="2" tint="-0.249977111117893"/>
        <bgColor rgb="FFFAE2D5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EDEDED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50"/>
        <bgColor rgb="FF000000"/>
      </patternFill>
    </fill>
  </fills>
  <borders count="1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uble">
        <color rgb="FF000000"/>
      </left>
      <right/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rgb="FF000000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 style="thin">
        <color theme="1"/>
      </right>
      <top style="thin">
        <color rgb="FF000000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3" fontId="52" fillId="0" borderId="0" applyFont="0" applyFill="0" applyBorder="0" applyAlignment="0" applyProtection="0"/>
  </cellStyleXfs>
  <cellXfs count="546">
    <xf numFmtId="0" fontId="0" fillId="0" borderId="0" xfId="0">
      <alignment vertical="center"/>
    </xf>
    <xf numFmtId="0" fontId="4" fillId="6" borderId="7" xfId="1" applyFont="1" applyFill="1" applyBorder="1" applyAlignment="1">
      <alignment horizontal="center" vertical="center"/>
    </xf>
    <xf numFmtId="0" fontId="4" fillId="6" borderId="15" xfId="1" applyFont="1" applyFill="1" applyBorder="1" applyAlignment="1">
      <alignment horizontal="center" vertical="center"/>
    </xf>
    <xf numFmtId="0" fontId="5" fillId="12" borderId="31" xfId="1" applyFont="1" applyFill="1" applyBorder="1" applyAlignment="1">
      <alignment vertical="center" wrapText="1"/>
    </xf>
    <xf numFmtId="0" fontId="3" fillId="0" borderId="32" xfId="1" applyBorder="1">
      <alignment vertical="center"/>
    </xf>
    <xf numFmtId="0" fontId="7" fillId="14" borderId="33" xfId="1" applyFont="1" applyFill="1" applyBorder="1" applyAlignment="1">
      <alignment horizontal="center" vertical="center"/>
    </xf>
    <xf numFmtId="0" fontId="3" fillId="0" borderId="0" xfId="1">
      <alignment vertical="center"/>
    </xf>
    <xf numFmtId="0" fontId="4" fillId="6" borderId="11" xfId="1" applyFont="1" applyFill="1" applyBorder="1" applyAlignment="1">
      <alignment horizontal="center" vertical="center"/>
    </xf>
    <xf numFmtId="0" fontId="4" fillId="6" borderId="0" xfId="1" applyFont="1" applyFill="1" applyAlignment="1">
      <alignment horizontal="center" vertical="center"/>
    </xf>
    <xf numFmtId="0" fontId="8" fillId="3" borderId="34" xfId="1" applyFont="1" applyFill="1" applyBorder="1">
      <alignment vertical="center"/>
    </xf>
    <xf numFmtId="0" fontId="6" fillId="6" borderId="0" xfId="1" applyFont="1" applyFill="1">
      <alignment vertical="center"/>
    </xf>
    <xf numFmtId="0" fontId="3" fillId="0" borderId="35" xfId="1" applyBorder="1">
      <alignment vertical="center"/>
    </xf>
    <xf numFmtId="0" fontId="9" fillId="15" borderId="36" xfId="1" applyFont="1" applyFill="1" applyBorder="1" applyAlignment="1">
      <alignment horizontal="center" vertical="center"/>
    </xf>
    <xf numFmtId="0" fontId="10" fillId="15" borderId="36" xfId="1" applyFont="1" applyFill="1" applyBorder="1" applyAlignment="1">
      <alignment horizontal="center" vertical="center"/>
    </xf>
    <xf numFmtId="0" fontId="11" fillId="12" borderId="37" xfId="1" applyFont="1" applyFill="1" applyBorder="1" applyAlignment="1">
      <alignment vertical="center" wrapText="1"/>
    </xf>
    <xf numFmtId="0" fontId="6" fillId="6" borderId="17" xfId="1" applyFont="1" applyFill="1" applyBorder="1">
      <alignment vertical="center"/>
    </xf>
    <xf numFmtId="0" fontId="9" fillId="15" borderId="19" xfId="1" applyFont="1" applyFill="1" applyBorder="1" applyAlignment="1">
      <alignment horizontal="center" vertical="center"/>
    </xf>
    <xf numFmtId="0" fontId="10" fillId="15" borderId="19" xfId="1" applyFont="1" applyFill="1" applyBorder="1" applyAlignment="1">
      <alignment horizontal="center" vertical="center"/>
    </xf>
    <xf numFmtId="0" fontId="3" fillId="0" borderId="10" xfId="1" applyBorder="1">
      <alignment vertical="center"/>
    </xf>
    <xf numFmtId="0" fontId="3" fillId="0" borderId="16" xfId="1" applyBorder="1">
      <alignment vertical="center"/>
    </xf>
    <xf numFmtId="0" fontId="3" fillId="13" borderId="16" xfId="1" applyFill="1" applyBorder="1">
      <alignment vertical="center"/>
    </xf>
    <xf numFmtId="0" fontId="6" fillId="13" borderId="14" xfId="1" applyFont="1" applyFill="1" applyBorder="1" applyAlignment="1">
      <alignment vertical="center" wrapText="1"/>
    </xf>
    <xf numFmtId="0" fontId="3" fillId="13" borderId="0" xfId="1" applyFill="1">
      <alignment vertical="center"/>
    </xf>
    <xf numFmtId="0" fontId="6" fillId="13" borderId="0" xfId="1" applyFont="1" applyFill="1" applyAlignment="1">
      <alignment vertical="center" wrapText="1"/>
    </xf>
    <xf numFmtId="0" fontId="6" fillId="13" borderId="17" xfId="1" applyFont="1" applyFill="1" applyBorder="1" applyAlignment="1">
      <alignment vertical="center" wrapText="1"/>
    </xf>
    <xf numFmtId="0" fontId="5" fillId="12" borderId="37" xfId="1" applyFont="1" applyFill="1" applyBorder="1" applyAlignment="1">
      <alignment vertical="center" wrapText="1"/>
    </xf>
    <xf numFmtId="0" fontId="13" fillId="0" borderId="17" xfId="1" applyFont="1" applyBorder="1">
      <alignment vertical="center"/>
    </xf>
    <xf numFmtId="0" fontId="13" fillId="0" borderId="7" xfId="1" applyFont="1" applyBorder="1">
      <alignment vertical="center"/>
    </xf>
    <xf numFmtId="0" fontId="13" fillId="2" borderId="34" xfId="1" applyFont="1" applyFill="1" applyBorder="1">
      <alignment vertical="center"/>
    </xf>
    <xf numFmtId="0" fontId="13" fillId="2" borderId="17" xfId="1" applyFont="1" applyFill="1" applyBorder="1">
      <alignment vertical="center"/>
    </xf>
    <xf numFmtId="0" fontId="13" fillId="13" borderId="17" xfId="1" applyFont="1" applyFill="1" applyBorder="1">
      <alignment vertical="center"/>
    </xf>
    <xf numFmtId="0" fontId="13" fillId="2" borderId="0" xfId="1" applyFont="1" applyFill="1">
      <alignment vertical="center"/>
    </xf>
    <xf numFmtId="0" fontId="8" fillId="13" borderId="27" xfId="1" applyFont="1" applyFill="1" applyBorder="1">
      <alignment vertical="center"/>
    </xf>
    <xf numFmtId="0" fontId="8" fillId="13" borderId="0" xfId="1" applyFont="1" applyFill="1">
      <alignment vertical="center"/>
    </xf>
    <xf numFmtId="0" fontId="3" fillId="13" borderId="38" xfId="1" applyFill="1" applyBorder="1">
      <alignment vertical="center"/>
    </xf>
    <xf numFmtId="0" fontId="5" fillId="13" borderId="0" xfId="1" applyFont="1" applyFill="1" applyAlignment="1">
      <alignment vertical="center" wrapText="1"/>
    </xf>
    <xf numFmtId="0" fontId="14" fillId="13" borderId="0" xfId="1" applyFont="1" applyFill="1" applyAlignment="1">
      <alignment horizontal="center" vertical="center"/>
    </xf>
    <xf numFmtId="0" fontId="9" fillId="13" borderId="0" xfId="1" applyFont="1" applyFill="1" applyAlignment="1">
      <alignment horizontal="center" vertical="center" wrapText="1"/>
    </xf>
    <xf numFmtId="0" fontId="15" fillId="13" borderId="0" xfId="1" applyFont="1" applyFill="1" applyAlignment="1">
      <alignment horizontal="center" vertical="center"/>
    </xf>
    <xf numFmtId="0" fontId="16" fillId="13" borderId="0" xfId="1" applyFont="1" applyFill="1">
      <alignment vertical="center"/>
    </xf>
    <xf numFmtId="0" fontId="8" fillId="12" borderId="39" xfId="1" applyFont="1" applyFill="1" applyBorder="1">
      <alignment vertical="center"/>
    </xf>
    <xf numFmtId="0" fontId="13" fillId="12" borderId="0" xfId="1" applyFont="1" applyFill="1">
      <alignment vertical="center"/>
    </xf>
    <xf numFmtId="0" fontId="11" fillId="13" borderId="0" xfId="1" applyFont="1" applyFill="1" applyAlignment="1">
      <alignment vertical="center" wrapText="1"/>
    </xf>
    <xf numFmtId="0" fontId="8" fillId="12" borderId="19" xfId="1" applyFont="1" applyFill="1" applyBorder="1" applyAlignment="1">
      <alignment horizontal="center" vertical="center"/>
    </xf>
    <xf numFmtId="0" fontId="5" fillId="12" borderId="0" xfId="1" applyFont="1" applyFill="1" applyAlignment="1">
      <alignment vertical="center" wrapText="1"/>
    </xf>
    <xf numFmtId="0" fontId="8" fillId="12" borderId="0" xfId="1" applyFont="1" applyFill="1">
      <alignment vertical="center"/>
    </xf>
    <xf numFmtId="0" fontId="15" fillId="12" borderId="0" xfId="1" applyFont="1" applyFill="1" applyAlignment="1">
      <alignment horizontal="center" vertical="center"/>
    </xf>
    <xf numFmtId="0" fontId="8" fillId="13" borderId="39" xfId="1" applyFont="1" applyFill="1" applyBorder="1">
      <alignment vertical="center"/>
    </xf>
    <xf numFmtId="0" fontId="17" fillId="12" borderId="19" xfId="1" applyFont="1" applyFill="1" applyBorder="1" applyAlignment="1">
      <alignment horizontal="center" vertical="center"/>
    </xf>
    <xf numFmtId="0" fontId="17" fillId="17" borderId="19" xfId="1" applyFont="1" applyFill="1" applyBorder="1" applyAlignment="1">
      <alignment horizontal="center" vertical="center"/>
    </xf>
    <xf numFmtId="1" fontId="16" fillId="13" borderId="19" xfId="1" applyNumberFormat="1" applyFont="1" applyFill="1" applyBorder="1" applyAlignment="1">
      <alignment horizontal="center" vertical="center" wrapText="1"/>
    </xf>
    <xf numFmtId="1" fontId="16" fillId="18" borderId="19" xfId="1" applyNumberFormat="1" applyFont="1" applyFill="1" applyBorder="1" applyAlignment="1">
      <alignment horizontal="center" vertical="center" wrapText="1"/>
    </xf>
    <xf numFmtId="0" fontId="16" fillId="13" borderId="19" xfId="1" applyFont="1" applyFill="1" applyBorder="1" applyAlignment="1">
      <alignment horizontal="center" vertical="center" wrapText="1"/>
    </xf>
    <xf numFmtId="0" fontId="16" fillId="12" borderId="19" xfId="1" applyFont="1" applyFill="1" applyBorder="1" applyAlignment="1">
      <alignment horizontal="center" vertical="center" wrapText="1"/>
    </xf>
    <xf numFmtId="49" fontId="6" fillId="12" borderId="19" xfId="1" applyNumberFormat="1" applyFont="1" applyFill="1" applyBorder="1" applyAlignment="1">
      <alignment horizontal="center" vertical="center" wrapText="1"/>
    </xf>
    <xf numFmtId="49" fontId="9" fillId="13" borderId="0" xfId="1" applyNumberFormat="1" applyFont="1" applyFill="1">
      <alignment vertical="center"/>
    </xf>
    <xf numFmtId="0" fontId="18" fillId="13" borderId="0" xfId="1" applyFont="1" applyFill="1" applyAlignment="1">
      <alignment vertical="center" wrapText="1"/>
    </xf>
    <xf numFmtId="166" fontId="15" fillId="13" borderId="0" xfId="1" applyNumberFormat="1" applyFont="1" applyFill="1" applyAlignment="1">
      <alignment vertical="center" wrapText="1"/>
    </xf>
    <xf numFmtId="1" fontId="15" fillId="13" borderId="0" xfId="1" applyNumberFormat="1" applyFont="1" applyFill="1" applyAlignment="1">
      <alignment horizontal="center" vertical="center" wrapText="1"/>
    </xf>
    <xf numFmtId="0" fontId="8" fillId="13" borderId="19" xfId="1" applyFont="1" applyFill="1" applyBorder="1" applyAlignment="1">
      <alignment horizontal="center" vertical="center"/>
    </xf>
    <xf numFmtId="0" fontId="10" fillId="13" borderId="19" xfId="1" applyFont="1" applyFill="1" applyBorder="1" applyAlignment="1">
      <alignment horizontal="center" vertical="center"/>
    </xf>
    <xf numFmtId="49" fontId="5" fillId="13" borderId="0" xfId="1" applyNumberFormat="1" applyFont="1" applyFill="1" applyAlignment="1">
      <alignment vertical="center" wrapText="1"/>
    </xf>
    <xf numFmtId="0" fontId="8" fillId="12" borderId="37" xfId="1" applyFont="1" applyFill="1" applyBorder="1">
      <alignment vertical="center"/>
    </xf>
    <xf numFmtId="0" fontId="9" fillId="13" borderId="0" xfId="1" applyFont="1" applyFill="1" applyAlignment="1">
      <alignment vertical="center" wrapText="1"/>
    </xf>
    <xf numFmtId="0" fontId="20" fillId="13" borderId="0" xfId="1" applyFont="1" applyFill="1" applyAlignment="1">
      <alignment vertical="center" wrapText="1"/>
    </xf>
    <xf numFmtId="0" fontId="8" fillId="12" borderId="0" xfId="1" applyFont="1" applyFill="1" applyAlignment="1">
      <alignment horizontal="center" vertical="center"/>
    </xf>
    <xf numFmtId="0" fontId="8" fillId="12" borderId="49" xfId="1" applyFont="1" applyFill="1" applyBorder="1">
      <alignment vertical="center"/>
    </xf>
    <xf numFmtId="0" fontId="6" fillId="12" borderId="19" xfId="1" applyFont="1" applyFill="1" applyBorder="1" applyAlignment="1">
      <alignment horizontal="center" vertical="center" wrapText="1"/>
    </xf>
    <xf numFmtId="0" fontId="5" fillId="19" borderId="15" xfId="1" applyFont="1" applyFill="1" applyBorder="1" applyAlignment="1">
      <alignment vertical="center" wrapText="1"/>
    </xf>
    <xf numFmtId="0" fontId="5" fillId="19" borderId="0" xfId="1" applyFont="1" applyFill="1" applyAlignment="1">
      <alignment vertical="center" wrapText="1"/>
    </xf>
    <xf numFmtId="0" fontId="5" fillId="19" borderId="9" xfId="1" applyFont="1" applyFill="1" applyBorder="1" applyAlignment="1">
      <alignment vertical="center" wrapText="1"/>
    </xf>
    <xf numFmtId="49" fontId="15" fillId="13" borderId="0" xfId="1" applyNumberFormat="1" applyFont="1" applyFill="1" applyAlignment="1">
      <alignment horizontal="center" vertical="center" wrapText="1"/>
    </xf>
    <xf numFmtId="0" fontId="5" fillId="19" borderId="8" xfId="1" applyFont="1" applyFill="1" applyBorder="1" applyAlignment="1">
      <alignment vertical="center" wrapText="1"/>
    </xf>
    <xf numFmtId="0" fontId="5" fillId="19" borderId="17" xfId="1" applyFont="1" applyFill="1" applyBorder="1" applyAlignment="1">
      <alignment vertical="center" wrapText="1"/>
    </xf>
    <xf numFmtId="0" fontId="5" fillId="19" borderId="12" xfId="1" applyFont="1" applyFill="1" applyBorder="1" applyAlignment="1">
      <alignment vertical="center" wrapText="1"/>
    </xf>
    <xf numFmtId="0" fontId="13" fillId="13" borderId="50" xfId="1" applyFont="1" applyFill="1" applyBorder="1">
      <alignment vertical="center"/>
    </xf>
    <xf numFmtId="0" fontId="13" fillId="13" borderId="29" xfId="1" applyFont="1" applyFill="1" applyBorder="1">
      <alignment vertical="center"/>
    </xf>
    <xf numFmtId="0" fontId="6" fillId="12" borderId="19" xfId="1" applyFont="1" applyFill="1" applyBorder="1" applyAlignment="1">
      <alignment horizontal="center" vertical="center"/>
    </xf>
    <xf numFmtId="0" fontId="5" fillId="19" borderId="7" xfId="1" applyFont="1" applyFill="1" applyBorder="1" applyAlignment="1">
      <alignment vertical="center" wrapText="1"/>
    </xf>
    <xf numFmtId="0" fontId="3" fillId="19" borderId="15" xfId="1" applyFill="1" applyBorder="1">
      <alignment vertical="center"/>
    </xf>
    <xf numFmtId="0" fontId="3" fillId="19" borderId="9" xfId="1" applyFill="1" applyBorder="1">
      <alignment vertical="center"/>
    </xf>
    <xf numFmtId="0" fontId="3" fillId="19" borderId="11" xfId="1" applyFill="1" applyBorder="1">
      <alignment vertical="center"/>
    </xf>
    <xf numFmtId="0" fontId="12" fillId="19" borderId="0" xfId="1" applyFont="1" applyFill="1">
      <alignment vertical="center"/>
    </xf>
    <xf numFmtId="0" fontId="3" fillId="19" borderId="8" xfId="1" applyFill="1" applyBorder="1">
      <alignment vertical="center"/>
    </xf>
    <xf numFmtId="0" fontId="21" fillId="19" borderId="0" xfId="1" applyFont="1" applyFill="1">
      <alignment vertical="center"/>
    </xf>
    <xf numFmtId="0" fontId="12" fillId="19" borderId="8" xfId="1" applyFont="1" applyFill="1" applyBorder="1">
      <alignment vertical="center"/>
    </xf>
    <xf numFmtId="0" fontId="3" fillId="19" borderId="13" xfId="1" applyFill="1" applyBorder="1">
      <alignment vertical="center"/>
    </xf>
    <xf numFmtId="0" fontId="3" fillId="19" borderId="17" xfId="1" applyFill="1" applyBorder="1">
      <alignment vertical="center"/>
    </xf>
    <xf numFmtId="0" fontId="3" fillId="19" borderId="12" xfId="1" applyFill="1" applyBorder="1">
      <alignment vertical="center"/>
    </xf>
    <xf numFmtId="0" fontId="13" fillId="0" borderId="29" xfId="1" applyFont="1" applyBorder="1">
      <alignment vertical="center"/>
    </xf>
    <xf numFmtId="0" fontId="8" fillId="13" borderId="11" xfId="1" applyFont="1" applyFill="1" applyBorder="1">
      <alignment vertical="center"/>
    </xf>
    <xf numFmtId="0" fontId="3" fillId="13" borderId="54" xfId="1" applyFill="1" applyBorder="1">
      <alignment vertical="center"/>
    </xf>
    <xf numFmtId="0" fontId="3" fillId="13" borderId="55" xfId="1" applyFill="1" applyBorder="1">
      <alignment vertical="center"/>
    </xf>
    <xf numFmtId="0" fontId="13" fillId="2" borderId="56" xfId="1" applyFont="1" applyFill="1" applyBorder="1">
      <alignment vertical="center"/>
    </xf>
    <xf numFmtId="0" fontId="8" fillId="13" borderId="0" xfId="1" applyFont="1" applyFill="1" applyAlignment="1">
      <alignment horizontal="center" vertical="center"/>
    </xf>
    <xf numFmtId="0" fontId="3" fillId="0" borderId="37" xfId="1" applyBorder="1">
      <alignment vertical="center"/>
    </xf>
    <xf numFmtId="0" fontId="3" fillId="0" borderId="58" xfId="1" applyBorder="1">
      <alignment vertical="center"/>
    </xf>
    <xf numFmtId="0" fontId="15" fillId="13" borderId="39" xfId="1" applyFont="1" applyFill="1" applyBorder="1" applyAlignment="1">
      <alignment horizontal="center" vertical="center"/>
    </xf>
    <xf numFmtId="0" fontId="13" fillId="2" borderId="60" xfId="1" applyFont="1" applyFill="1" applyBorder="1">
      <alignment vertical="center"/>
    </xf>
    <xf numFmtId="1" fontId="8" fillId="12" borderId="19" xfId="1" applyNumberFormat="1" applyFont="1" applyFill="1" applyBorder="1" applyAlignment="1">
      <alignment horizontal="center" vertical="center"/>
    </xf>
    <xf numFmtId="0" fontId="16" fillId="18" borderId="19" xfId="1" applyFont="1" applyFill="1" applyBorder="1" applyAlignment="1">
      <alignment horizontal="center" vertical="center" wrapText="1"/>
    </xf>
    <xf numFmtId="0" fontId="16" fillId="20" borderId="19" xfId="1" applyFont="1" applyFill="1" applyBorder="1" applyAlignment="1">
      <alignment horizontal="center" vertical="center"/>
    </xf>
    <xf numFmtId="1" fontId="15" fillId="23" borderId="19" xfId="1" applyNumberFormat="1" applyFont="1" applyFill="1" applyBorder="1" applyAlignment="1">
      <alignment horizontal="center" vertical="center" wrapText="1"/>
    </xf>
    <xf numFmtId="0" fontId="13" fillId="2" borderId="61" xfId="1" applyFont="1" applyFill="1" applyBorder="1">
      <alignment vertical="center"/>
    </xf>
    <xf numFmtId="0" fontId="13" fillId="2" borderId="62" xfId="1" applyFont="1" applyFill="1" applyBorder="1">
      <alignment vertical="center"/>
    </xf>
    <xf numFmtId="0" fontId="17" fillId="18" borderId="57" xfId="1" applyFont="1" applyFill="1" applyBorder="1" applyAlignment="1">
      <alignment horizontal="center" vertical="center"/>
    </xf>
    <xf numFmtId="0" fontId="17" fillId="18" borderId="19" xfId="1" applyFont="1" applyFill="1" applyBorder="1" applyAlignment="1">
      <alignment horizontal="center" vertical="center"/>
    </xf>
    <xf numFmtId="0" fontId="17" fillId="13" borderId="0" xfId="1" applyFont="1" applyFill="1">
      <alignment vertical="center"/>
    </xf>
    <xf numFmtId="0" fontId="16" fillId="13" borderId="0" xfId="1" applyFont="1" applyFill="1" applyAlignment="1">
      <alignment vertical="center" wrapText="1"/>
    </xf>
    <xf numFmtId="1" fontId="16" fillId="23" borderId="19" xfId="1" applyNumberFormat="1" applyFont="1" applyFill="1" applyBorder="1" applyAlignment="1">
      <alignment horizontal="center" vertical="center" wrapText="1"/>
    </xf>
    <xf numFmtId="0" fontId="8" fillId="13" borderId="55" xfId="1" applyFont="1" applyFill="1" applyBorder="1">
      <alignment vertical="center"/>
    </xf>
    <xf numFmtId="0" fontId="16" fillId="26" borderId="19" xfId="1" applyFont="1" applyFill="1" applyBorder="1" applyAlignment="1">
      <alignment horizontal="center" vertical="center"/>
    </xf>
    <xf numFmtId="0" fontId="16" fillId="22" borderId="19" xfId="1" applyFont="1" applyFill="1" applyBorder="1" applyAlignment="1">
      <alignment horizontal="center" vertical="center"/>
    </xf>
    <xf numFmtId="0" fontId="16" fillId="12" borderId="19" xfId="1" applyFont="1" applyFill="1" applyBorder="1" applyAlignment="1">
      <alignment horizontal="center" vertical="center"/>
    </xf>
    <xf numFmtId="0" fontId="12" fillId="13" borderId="0" xfId="1" applyFont="1" applyFill="1">
      <alignment vertical="center"/>
    </xf>
    <xf numFmtId="0" fontId="3" fillId="13" borderId="48" xfId="1" applyFill="1" applyBorder="1">
      <alignment vertical="center"/>
    </xf>
    <xf numFmtId="0" fontId="15" fillId="13" borderId="0" xfId="1" applyFont="1" applyFill="1" applyAlignment="1">
      <alignment vertical="center" wrapText="1"/>
    </xf>
    <xf numFmtId="0" fontId="24" fillId="13" borderId="0" xfId="1" applyFont="1" applyFill="1" applyAlignment="1">
      <alignment horizontal="center" vertical="center"/>
    </xf>
    <xf numFmtId="1" fontId="15" fillId="13" borderId="19" xfId="1" applyNumberFormat="1" applyFont="1" applyFill="1" applyBorder="1" applyAlignment="1">
      <alignment horizontal="center" vertical="center" wrapText="1"/>
    </xf>
    <xf numFmtId="0" fontId="15" fillId="13" borderId="0" xfId="1" applyFont="1" applyFill="1" applyAlignment="1">
      <alignment horizontal="left" vertical="center"/>
    </xf>
    <xf numFmtId="0" fontId="9" fillId="12" borderId="19" xfId="1" applyFont="1" applyFill="1" applyBorder="1" applyAlignment="1">
      <alignment horizontal="center" vertical="center"/>
    </xf>
    <xf numFmtId="0" fontId="9" fillId="13" borderId="0" xfId="1" applyFont="1" applyFill="1" applyAlignment="1">
      <alignment horizontal="center" vertical="center"/>
    </xf>
    <xf numFmtId="0" fontId="16" fillId="13" borderId="0" xfId="1" applyFont="1" applyFill="1" applyAlignment="1">
      <alignment horizontal="center" vertical="center"/>
    </xf>
    <xf numFmtId="0" fontId="15" fillId="13" borderId="63" xfId="1" applyFont="1" applyFill="1" applyBorder="1" applyAlignment="1">
      <alignment horizontal="center" vertical="center"/>
    </xf>
    <xf numFmtId="0" fontId="15" fillId="13" borderId="64" xfId="1" applyFont="1" applyFill="1" applyBorder="1" applyAlignment="1">
      <alignment horizontal="center" vertical="center"/>
    </xf>
    <xf numFmtId="0" fontId="15" fillId="12" borderId="63" xfId="1" applyFont="1" applyFill="1" applyBorder="1" applyAlignment="1">
      <alignment horizontal="center" vertical="center"/>
    </xf>
    <xf numFmtId="0" fontId="5" fillId="12" borderId="63" xfId="1" applyFont="1" applyFill="1" applyBorder="1" applyAlignment="1">
      <alignment vertical="center" wrapText="1"/>
    </xf>
    <xf numFmtId="0" fontId="8" fillId="12" borderId="63" xfId="1" applyFont="1" applyFill="1" applyBorder="1">
      <alignment vertical="center"/>
    </xf>
    <xf numFmtId="0" fontId="15" fillId="12" borderId="0" xfId="1" applyFont="1" applyFill="1">
      <alignment vertical="center"/>
    </xf>
    <xf numFmtId="0" fontId="6" fillId="12" borderId="0" xfId="1" applyFont="1" applyFill="1" applyAlignment="1">
      <alignment vertical="center" textRotation="90" wrapText="1"/>
    </xf>
    <xf numFmtId="0" fontId="17" fillId="0" borderId="0" xfId="1" applyFont="1">
      <alignment vertical="center"/>
    </xf>
    <xf numFmtId="0" fontId="17" fillId="21" borderId="23" xfId="1" applyFont="1" applyFill="1" applyBorder="1">
      <alignment vertical="center"/>
    </xf>
    <xf numFmtId="0" fontId="17" fillId="21" borderId="26" xfId="1" applyFont="1" applyFill="1" applyBorder="1">
      <alignment vertical="center"/>
    </xf>
    <xf numFmtId="0" fontId="17" fillId="21" borderId="25" xfId="1" applyFont="1" applyFill="1" applyBorder="1">
      <alignment vertical="center"/>
    </xf>
    <xf numFmtId="0" fontId="13" fillId="0" borderId="0" xfId="1" applyFont="1">
      <alignment vertical="center"/>
    </xf>
    <xf numFmtId="0" fontId="17" fillId="21" borderId="24" xfId="1" applyFont="1" applyFill="1" applyBorder="1">
      <alignment vertical="center"/>
    </xf>
    <xf numFmtId="0" fontId="17" fillId="21" borderId="18" xfId="1" applyFont="1" applyFill="1" applyBorder="1">
      <alignment vertical="center"/>
    </xf>
    <xf numFmtId="0" fontId="3" fillId="21" borderId="18" xfId="1" applyFill="1" applyBorder="1">
      <alignment vertical="center"/>
    </xf>
    <xf numFmtId="0" fontId="17" fillId="21" borderId="28" xfId="1" applyFont="1" applyFill="1" applyBorder="1">
      <alignment vertical="center"/>
    </xf>
    <xf numFmtId="0" fontId="15" fillId="0" borderId="0" xfId="1" applyFont="1">
      <alignment vertical="center"/>
    </xf>
    <xf numFmtId="0" fontId="13" fillId="0" borderId="0" xfId="1" applyFont="1" applyAlignment="1">
      <alignment horizontal="center" vertical="center"/>
    </xf>
    <xf numFmtId="0" fontId="27" fillId="0" borderId="19" xfId="1" applyFont="1" applyBorder="1" applyAlignment="1">
      <alignment horizontal="center" vertical="center"/>
    </xf>
    <xf numFmtId="0" fontId="28" fillId="0" borderId="19" xfId="1" applyFont="1" applyBorder="1" applyAlignment="1">
      <alignment horizontal="center" vertical="center"/>
    </xf>
    <xf numFmtId="165" fontId="17" fillId="0" borderId="0" xfId="1" applyNumberFormat="1" applyFont="1">
      <alignment vertical="center"/>
    </xf>
    <xf numFmtId="3" fontId="17" fillId="0" borderId="0" xfId="1" applyNumberFormat="1" applyFont="1" applyAlignment="1">
      <alignment horizontal="center" vertical="center"/>
    </xf>
    <xf numFmtId="0" fontId="3" fillId="12" borderId="0" xfId="1" applyFill="1">
      <alignment vertical="center"/>
    </xf>
    <xf numFmtId="0" fontId="29" fillId="0" borderId="0" xfId="1" applyFont="1">
      <alignment vertical="center"/>
    </xf>
    <xf numFmtId="0" fontId="12" fillId="0" borderId="0" xfId="1" applyFont="1">
      <alignment vertical="center"/>
    </xf>
    <xf numFmtId="0" fontId="30" fillId="0" borderId="0" xfId="1" applyFont="1">
      <alignment vertical="center"/>
    </xf>
    <xf numFmtId="0" fontId="31" fillId="0" borderId="0" xfId="1" applyFont="1">
      <alignment vertical="center"/>
    </xf>
    <xf numFmtId="0" fontId="24" fillId="31" borderId="65" xfId="1" applyFont="1" applyFill="1" applyBorder="1" applyAlignment="1">
      <alignment horizontal="center" vertical="center"/>
    </xf>
    <xf numFmtId="0" fontId="24" fillId="31" borderId="33" xfId="1" applyFont="1" applyFill="1" applyBorder="1" applyAlignment="1">
      <alignment horizontal="center" vertical="center"/>
    </xf>
    <xf numFmtId="0" fontId="24" fillId="31" borderId="66" xfId="1" applyFont="1" applyFill="1" applyBorder="1" applyAlignment="1">
      <alignment horizontal="center" vertical="center"/>
    </xf>
    <xf numFmtId="0" fontId="3" fillId="23" borderId="0" xfId="1" applyFill="1">
      <alignment vertical="center"/>
    </xf>
    <xf numFmtId="1" fontId="32" fillId="12" borderId="68" xfId="1" applyNumberFormat="1" applyFont="1" applyFill="1" applyBorder="1" applyAlignment="1">
      <alignment horizontal="center" vertical="center"/>
    </xf>
    <xf numFmtId="1" fontId="32" fillId="12" borderId="69" xfId="1" applyNumberFormat="1" applyFont="1" applyFill="1" applyBorder="1" applyAlignment="1">
      <alignment horizontal="center" vertical="center"/>
    </xf>
    <xf numFmtId="0" fontId="33" fillId="12" borderId="55" xfId="1" applyFont="1" applyFill="1" applyBorder="1" applyAlignment="1">
      <alignment horizontal="center" vertical="center"/>
    </xf>
    <xf numFmtId="1" fontId="33" fillId="12" borderId="55" xfId="1" applyNumberFormat="1" applyFont="1" applyFill="1" applyBorder="1" applyAlignment="1">
      <alignment horizontal="center" vertical="center"/>
    </xf>
    <xf numFmtId="0" fontId="32" fillId="12" borderId="68" xfId="1" applyFont="1" applyFill="1" applyBorder="1" applyAlignment="1">
      <alignment horizontal="center" vertical="center"/>
    </xf>
    <xf numFmtId="0" fontId="32" fillId="12" borderId="69" xfId="1" applyFont="1" applyFill="1" applyBorder="1" applyAlignment="1">
      <alignment horizontal="center" vertical="center"/>
    </xf>
    <xf numFmtId="0" fontId="32" fillId="12" borderId="70" xfId="1" applyFont="1" applyFill="1" applyBorder="1" applyAlignment="1">
      <alignment horizontal="center" vertical="center"/>
    </xf>
    <xf numFmtId="0" fontId="32" fillId="12" borderId="71" xfId="1" applyFont="1" applyFill="1" applyBorder="1" applyAlignment="1">
      <alignment horizontal="center" vertical="center"/>
    </xf>
    <xf numFmtId="1" fontId="33" fillId="12" borderId="72" xfId="1" applyNumberFormat="1" applyFont="1" applyFill="1" applyBorder="1" applyAlignment="1">
      <alignment horizontal="center" vertical="center"/>
    </xf>
    <xf numFmtId="0" fontId="32" fillId="23" borderId="0" xfId="1" applyFont="1" applyFill="1" applyAlignment="1">
      <alignment horizontal="center" vertical="center"/>
    </xf>
    <xf numFmtId="0" fontId="15" fillId="16" borderId="4" xfId="1" applyFont="1" applyFill="1" applyBorder="1" applyAlignment="1">
      <alignment horizontal="center" vertical="center"/>
    </xf>
    <xf numFmtId="3" fontId="17" fillId="12" borderId="4" xfId="1" applyNumberFormat="1" applyFont="1" applyFill="1" applyBorder="1" applyAlignment="1">
      <alignment horizontal="center" vertical="center"/>
    </xf>
    <xf numFmtId="164" fontId="17" fillId="12" borderId="4" xfId="1" applyNumberFormat="1" applyFont="1" applyFill="1" applyBorder="1" applyAlignment="1">
      <alignment horizontal="center" vertical="center"/>
    </xf>
    <xf numFmtId="3" fontId="17" fillId="27" borderId="4" xfId="1" applyNumberFormat="1" applyFont="1" applyFill="1" applyBorder="1" applyAlignment="1">
      <alignment horizontal="center" vertical="center"/>
    </xf>
    <xf numFmtId="164" fontId="17" fillId="27" borderId="4" xfId="1" applyNumberFormat="1" applyFont="1" applyFill="1" applyBorder="1" applyAlignment="1">
      <alignment horizontal="center" vertical="center"/>
    </xf>
    <xf numFmtId="1" fontId="25" fillId="12" borderId="4" xfId="1" applyNumberFormat="1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7" fontId="25" fillId="28" borderId="4" xfId="1" applyNumberFormat="1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7" fontId="25" fillId="29" borderId="4" xfId="1" applyNumberFormat="1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7" fontId="25" fillId="8" borderId="4" xfId="1" applyNumberFormat="1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12" borderId="4" xfId="1" applyFont="1" applyFill="1" applyBorder="1" applyAlignment="1">
      <alignment horizontal="center"/>
    </xf>
    <xf numFmtId="0" fontId="6" fillId="13" borderId="0" xfId="0" applyFont="1" applyFill="1" applyAlignment="1">
      <alignment horizontal="left" vertical="center"/>
    </xf>
    <xf numFmtId="0" fontId="22" fillId="7" borderId="4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22" fillId="5" borderId="4" xfId="0" applyFont="1" applyFill="1" applyBorder="1" applyAlignment="1">
      <alignment horizontal="center" vertical="center" wrapText="1"/>
    </xf>
    <xf numFmtId="1" fontId="22" fillId="4" borderId="4" xfId="0" applyNumberFormat="1" applyFont="1" applyFill="1" applyBorder="1" applyAlignment="1">
      <alignment horizontal="center" vertical="center"/>
    </xf>
    <xf numFmtId="0" fontId="22" fillId="9" borderId="4" xfId="0" applyFont="1" applyFill="1" applyBorder="1" applyAlignment="1">
      <alignment horizontal="center" vertical="center"/>
    </xf>
    <xf numFmtId="0" fontId="22" fillId="25" borderId="4" xfId="0" applyFont="1" applyFill="1" applyBorder="1" applyAlignment="1">
      <alignment horizontal="center" vertical="center"/>
    </xf>
    <xf numFmtId="0" fontId="23" fillId="10" borderId="4" xfId="0" applyFont="1" applyFill="1" applyBorder="1" applyAlignment="1">
      <alignment horizontal="center" vertical="center"/>
    </xf>
    <xf numFmtId="0" fontId="13" fillId="34" borderId="29" xfId="1" applyFont="1" applyFill="1" applyBorder="1">
      <alignment vertical="center"/>
    </xf>
    <xf numFmtId="0" fontId="13" fillId="34" borderId="17" xfId="1" applyFont="1" applyFill="1" applyBorder="1">
      <alignment vertical="center"/>
    </xf>
    <xf numFmtId="0" fontId="17" fillId="35" borderId="19" xfId="1" applyFont="1" applyFill="1" applyBorder="1" applyAlignment="1">
      <alignment horizontal="center" vertical="center"/>
    </xf>
    <xf numFmtId="0" fontId="0" fillId="0" borderId="0" xfId="0" applyAlignment="1"/>
    <xf numFmtId="0" fontId="37" fillId="38" borderId="4" xfId="0" applyFont="1" applyFill="1" applyBorder="1" applyAlignment="1">
      <alignment horizontal="center"/>
    </xf>
    <xf numFmtId="0" fontId="37" fillId="40" borderId="1" xfId="0" applyFont="1" applyFill="1" applyBorder="1" applyAlignment="1">
      <alignment horizontal="center" vertical="center"/>
    </xf>
    <xf numFmtId="0" fontId="37" fillId="40" borderId="4" xfId="0" applyFont="1" applyFill="1" applyBorder="1" applyAlignment="1">
      <alignment horizontal="center"/>
    </xf>
    <xf numFmtId="1" fontId="0" fillId="13" borderId="4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" fontId="38" fillId="13" borderId="57" xfId="0" applyNumberFormat="1" applyFont="1" applyFill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/>
    </xf>
    <xf numFmtId="1" fontId="38" fillId="0" borderId="19" xfId="0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6" fillId="0" borderId="23" xfId="0" applyFont="1" applyBorder="1" applyAlignment="1">
      <alignment horizontal="center" vertical="center" wrapText="1"/>
    </xf>
    <xf numFmtId="0" fontId="36" fillId="12" borderId="19" xfId="0" applyFont="1" applyFill="1" applyBorder="1" applyAlignment="1">
      <alignment horizontal="center" vertical="center" wrapText="1"/>
    </xf>
    <xf numFmtId="0" fontId="36" fillId="35" borderId="26" xfId="0" applyFont="1" applyFill="1" applyBorder="1" applyAlignment="1">
      <alignment horizontal="center" vertical="center"/>
    </xf>
    <xf numFmtId="0" fontId="36" fillId="37" borderId="23" xfId="0" applyFont="1" applyFill="1" applyBorder="1" applyAlignment="1">
      <alignment horizontal="center" vertical="center"/>
    </xf>
    <xf numFmtId="0" fontId="36" fillId="17" borderId="23" xfId="0" applyFont="1" applyFill="1" applyBorder="1" applyAlignment="1">
      <alignment horizontal="center" vertical="center"/>
    </xf>
    <xf numFmtId="1" fontId="36" fillId="12" borderId="82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5" xfId="0" applyFont="1" applyBorder="1" applyAlignment="1">
      <alignment horizontal="center" vertical="center" wrapText="1"/>
    </xf>
    <xf numFmtId="0" fontId="36" fillId="12" borderId="23" xfId="0" applyFont="1" applyFill="1" applyBorder="1" applyAlignment="1">
      <alignment horizontal="center" vertical="center" wrapText="1"/>
    </xf>
    <xf numFmtId="0" fontId="36" fillId="12" borderId="23" xfId="0" applyFont="1" applyFill="1" applyBorder="1" applyAlignment="1">
      <alignment horizontal="center" vertical="center"/>
    </xf>
    <xf numFmtId="14" fontId="36" fillId="0" borderId="4" xfId="0" applyNumberFormat="1" applyFont="1" applyBorder="1" applyAlignment="1">
      <alignment horizontal="center" vertical="center" wrapText="1"/>
    </xf>
    <xf numFmtId="0" fontId="36" fillId="36" borderId="1" xfId="0" applyFont="1" applyFill="1" applyBorder="1" applyAlignment="1">
      <alignment horizontal="center" vertical="center" wrapText="1"/>
    </xf>
    <xf numFmtId="0" fontId="36" fillId="27" borderId="75" xfId="0" applyFont="1" applyFill="1" applyBorder="1" applyAlignment="1" applyProtection="1">
      <alignment horizontal="center" vertical="center" wrapText="1"/>
      <protection locked="0"/>
    </xf>
    <xf numFmtId="0" fontId="36" fillId="12" borderId="73" xfId="0" applyFont="1" applyFill="1" applyBorder="1" applyAlignment="1" applyProtection="1">
      <alignment horizontal="center" vertical="center" wrapText="1"/>
      <protection locked="0"/>
    </xf>
    <xf numFmtId="0" fontId="15" fillId="12" borderId="74" xfId="1" applyFont="1" applyFill="1" applyBorder="1" applyAlignment="1">
      <alignment vertical="center" wrapText="1"/>
    </xf>
    <xf numFmtId="0" fontId="15" fillId="12" borderId="75" xfId="1" applyFont="1" applyFill="1" applyBorder="1" applyAlignment="1">
      <alignment vertical="center" wrapText="1"/>
    </xf>
    <xf numFmtId="0" fontId="15" fillId="12" borderId="47" xfId="1" applyFont="1" applyFill="1" applyBorder="1" applyAlignment="1">
      <alignment vertical="center" wrapText="1"/>
    </xf>
    <xf numFmtId="0" fontId="15" fillId="12" borderId="0" xfId="1" applyFont="1" applyFill="1" applyAlignment="1">
      <alignment vertical="center" wrapText="1"/>
    </xf>
    <xf numFmtId="0" fontId="15" fillId="12" borderId="48" xfId="1" applyFont="1" applyFill="1" applyBorder="1" applyAlignment="1">
      <alignment vertical="center" wrapText="1"/>
    </xf>
    <xf numFmtId="0" fontId="15" fillId="12" borderId="76" xfId="1" applyFont="1" applyFill="1" applyBorder="1" applyAlignment="1">
      <alignment vertical="center" wrapText="1"/>
    </xf>
    <xf numFmtId="0" fontId="15" fillId="12" borderId="77" xfId="1" applyFont="1" applyFill="1" applyBorder="1" applyAlignment="1">
      <alignment vertical="center" wrapText="1"/>
    </xf>
    <xf numFmtId="0" fontId="15" fillId="12" borderId="78" xfId="1" applyFont="1" applyFill="1" applyBorder="1" applyAlignment="1">
      <alignment vertical="center" wrapText="1"/>
    </xf>
    <xf numFmtId="0" fontId="15" fillId="12" borderId="73" xfId="1" applyFont="1" applyFill="1" applyBorder="1">
      <alignment vertical="center"/>
    </xf>
    <xf numFmtId="0" fontId="16" fillId="41" borderId="86" xfId="1" applyFont="1" applyFill="1" applyBorder="1" applyAlignment="1">
      <alignment horizontal="center" vertical="center"/>
    </xf>
    <xf numFmtId="0" fontId="40" fillId="28" borderId="4" xfId="1" applyFont="1" applyFill="1" applyBorder="1" applyAlignment="1">
      <alignment horizontal="center" vertical="center"/>
    </xf>
    <xf numFmtId="0" fontId="39" fillId="13" borderId="0" xfId="1" applyFont="1" applyFill="1" applyAlignment="1">
      <alignment vertical="center" wrapText="1"/>
    </xf>
    <xf numFmtId="0" fontId="42" fillId="28" borderId="4" xfId="1" applyFont="1" applyFill="1" applyBorder="1" applyAlignment="1">
      <alignment horizontal="center" vertical="center"/>
    </xf>
    <xf numFmtId="0" fontId="27" fillId="12" borderId="19" xfId="1" applyFont="1" applyFill="1" applyBorder="1" applyAlignment="1">
      <alignment horizontal="center" vertical="center"/>
    </xf>
    <xf numFmtId="0" fontId="28" fillId="12" borderId="19" xfId="1" applyFont="1" applyFill="1" applyBorder="1" applyAlignment="1">
      <alignment horizontal="center" vertical="center"/>
    </xf>
    <xf numFmtId="1" fontId="22" fillId="24" borderId="4" xfId="0" applyNumberFormat="1" applyFont="1" applyFill="1" applyBorder="1" applyAlignment="1">
      <alignment horizontal="center" vertical="center"/>
    </xf>
    <xf numFmtId="1" fontId="3" fillId="0" borderId="0" xfId="1" applyNumberFormat="1">
      <alignment vertical="center"/>
    </xf>
    <xf numFmtId="0" fontId="7" fillId="14" borderId="0" xfId="1" applyFont="1" applyFill="1" applyAlignment="1">
      <alignment horizontal="center" vertical="center"/>
    </xf>
    <xf numFmtId="0" fontId="3" fillId="43" borderId="4" xfId="1" applyFill="1" applyBorder="1" applyAlignment="1">
      <alignment horizontal="center" vertical="center"/>
    </xf>
    <xf numFmtId="0" fontId="3" fillId="44" borderId="4" xfId="1" applyFill="1" applyBorder="1" applyAlignment="1">
      <alignment horizontal="center" vertical="center"/>
    </xf>
    <xf numFmtId="1" fontId="3" fillId="44" borderId="4" xfId="1" applyNumberFormat="1" applyFill="1" applyBorder="1" applyAlignment="1">
      <alignment horizontal="center" vertical="center"/>
    </xf>
    <xf numFmtId="0" fontId="3" fillId="29" borderId="4" xfId="1" applyFill="1" applyBorder="1" applyAlignment="1">
      <alignment horizontal="center" vertical="center"/>
    </xf>
    <xf numFmtId="0" fontId="3" fillId="21" borderId="4" xfId="1" applyFill="1" applyBorder="1" applyAlignment="1">
      <alignment horizontal="center" vertical="center"/>
    </xf>
    <xf numFmtId="0" fontId="3" fillId="45" borderId="4" xfId="1" applyFill="1" applyBorder="1" applyAlignment="1">
      <alignment horizontal="center" vertical="center"/>
    </xf>
    <xf numFmtId="0" fontId="22" fillId="12" borderId="6" xfId="1" applyFont="1" applyFill="1" applyBorder="1" applyAlignment="1">
      <alignment horizontal="center" vertical="center" wrapText="1"/>
    </xf>
    <xf numFmtId="0" fontId="41" fillId="12" borderId="4" xfId="1" applyFont="1" applyFill="1" applyBorder="1" applyAlignment="1">
      <alignment horizontal="center" vertical="center" wrapText="1"/>
    </xf>
    <xf numFmtId="1" fontId="22" fillId="33" borderId="4" xfId="1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3" fontId="43" fillId="33" borderId="4" xfId="1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3" fontId="22" fillId="33" borderId="4" xfId="1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1" fillId="0" borderId="65" xfId="1" applyFont="1" applyBorder="1">
      <alignment vertical="center"/>
    </xf>
    <xf numFmtId="0" fontId="10" fillId="46" borderId="19" xfId="0" applyFont="1" applyFill="1" applyBorder="1" applyAlignment="1">
      <alignment horizontal="center" vertical="center"/>
    </xf>
    <xf numFmtId="0" fontId="3" fillId="8" borderId="0" xfId="1" applyFill="1">
      <alignment vertical="center"/>
    </xf>
    <xf numFmtId="0" fontId="3" fillId="48" borderId="41" xfId="1" applyFill="1" applyBorder="1">
      <alignment vertical="center"/>
    </xf>
    <xf numFmtId="0" fontId="3" fillId="48" borderId="42" xfId="1" applyFill="1" applyBorder="1">
      <alignment vertical="center"/>
    </xf>
    <xf numFmtId="0" fontId="3" fillId="48" borderId="43" xfId="1" applyFill="1" applyBorder="1">
      <alignment vertical="center"/>
    </xf>
    <xf numFmtId="0" fontId="8" fillId="49" borderId="19" xfId="0" applyFont="1" applyFill="1" applyBorder="1" applyAlignment="1">
      <alignment horizontal="center" vertical="center" wrapText="1"/>
    </xf>
    <xf numFmtId="0" fontId="17" fillId="32" borderId="4" xfId="0" applyFont="1" applyFill="1" applyBorder="1" applyAlignment="1">
      <alignment horizontal="center"/>
    </xf>
    <xf numFmtId="0" fontId="3" fillId="0" borderId="19" xfId="1" applyBorder="1" applyAlignment="1">
      <alignment horizontal="center" vertical="center"/>
    </xf>
    <xf numFmtId="0" fontId="45" fillId="3" borderId="19" xfId="1" applyFont="1" applyFill="1" applyBorder="1" applyAlignment="1">
      <alignment horizontal="center" vertical="center"/>
    </xf>
    <xf numFmtId="0" fontId="6" fillId="12" borderId="27" xfId="1" applyFont="1" applyFill="1" applyBorder="1">
      <alignment vertical="center"/>
    </xf>
    <xf numFmtId="0" fontId="6" fillId="12" borderId="89" xfId="1" applyFont="1" applyFill="1" applyBorder="1">
      <alignment vertical="center"/>
    </xf>
    <xf numFmtId="0" fontId="6" fillId="12" borderId="24" xfId="1" applyFont="1" applyFill="1" applyBorder="1">
      <alignment vertical="center"/>
    </xf>
    <xf numFmtId="0" fontId="6" fillId="12" borderId="28" xfId="1" applyFont="1" applyFill="1" applyBorder="1">
      <alignment vertical="center"/>
    </xf>
    <xf numFmtId="0" fontId="8" fillId="13" borderId="0" xfId="1" applyFont="1" applyFill="1" applyAlignment="1">
      <alignment horizontal="right"/>
    </xf>
    <xf numFmtId="0" fontId="47" fillId="12" borderId="27" xfId="1" applyFont="1" applyFill="1" applyBorder="1" applyAlignment="1">
      <alignment horizontal="right"/>
    </xf>
    <xf numFmtId="0" fontId="47" fillId="12" borderId="90" xfId="1" applyFont="1" applyFill="1" applyBorder="1" applyAlignment="1">
      <alignment horizontal="left"/>
    </xf>
    <xf numFmtId="0" fontId="24" fillId="3" borderId="1" xfId="1" applyFont="1" applyFill="1" applyBorder="1" applyAlignment="1">
      <alignment horizontal="center" vertical="center" wrapText="1"/>
    </xf>
    <xf numFmtId="0" fontId="24" fillId="3" borderId="3" xfId="1" applyFont="1" applyFill="1" applyBorder="1" applyAlignment="1">
      <alignment horizontal="center" vertical="center" wrapText="1"/>
    </xf>
    <xf numFmtId="1" fontId="22" fillId="12" borderId="4" xfId="1" applyNumberFormat="1" applyFont="1" applyFill="1" applyBorder="1" applyAlignment="1">
      <alignment horizontal="center" vertical="center" wrapText="1"/>
    </xf>
    <xf numFmtId="3" fontId="0" fillId="12" borderId="4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3" borderId="4" xfId="0" applyFill="1" applyBorder="1" applyAlignment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3" fillId="12" borderId="4" xfId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/>
    </xf>
    <xf numFmtId="3" fontId="0" fillId="18" borderId="4" xfId="0" applyNumberFormat="1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3" fontId="50" fillId="18" borderId="4" xfId="0" applyNumberFormat="1" applyFont="1" applyFill="1" applyBorder="1" applyAlignment="1">
      <alignment horizontal="center"/>
    </xf>
    <xf numFmtId="0" fontId="50" fillId="18" borderId="4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3" fillId="0" borderId="1" xfId="1" applyBorder="1" applyAlignment="1">
      <alignment horizontal="center" vertical="center"/>
    </xf>
    <xf numFmtId="0" fontId="51" fillId="53" borderId="4" xfId="0" applyFont="1" applyFill="1" applyBorder="1" applyAlignment="1">
      <alignment horizontal="center" vertical="center" indent="1"/>
    </xf>
    <xf numFmtId="0" fontId="0" fillId="0" borderId="0" xfId="1" applyFont="1">
      <alignment vertical="center"/>
    </xf>
    <xf numFmtId="0" fontId="2" fillId="13" borderId="0" xfId="1" applyFont="1" applyFill="1">
      <alignment vertical="center"/>
    </xf>
    <xf numFmtId="0" fontId="49" fillId="49" borderId="6" xfId="0" applyFont="1" applyFill="1" applyBorder="1" applyAlignment="1">
      <alignment horizontal="center" vertical="center" wrapText="1"/>
    </xf>
    <xf numFmtId="0" fontId="45" fillId="12" borderId="82" xfId="0" applyFont="1" applyFill="1" applyBorder="1" applyAlignment="1">
      <alignment horizontal="center" vertical="center"/>
    </xf>
    <xf numFmtId="0" fontId="45" fillId="12" borderId="93" xfId="0" applyFont="1" applyFill="1" applyBorder="1" applyAlignment="1">
      <alignment horizontal="center" vertical="center"/>
    </xf>
    <xf numFmtId="0" fontId="0" fillId="0" borderId="36" xfId="0" applyBorder="1" applyAlignment="1"/>
    <xf numFmtId="0" fontId="53" fillId="13" borderId="0" xfId="1" applyFont="1" applyFill="1" applyAlignment="1">
      <alignment horizontal="center" vertical="center"/>
    </xf>
    <xf numFmtId="0" fontId="2" fillId="12" borderId="4" xfId="1" applyFont="1" applyFill="1" applyBorder="1" applyAlignment="1">
      <alignment horizontal="center" vertical="center"/>
    </xf>
    <xf numFmtId="0" fontId="0" fillId="12" borderId="28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31" fillId="12" borderId="6" xfId="1" applyFont="1" applyFill="1" applyBorder="1" applyAlignment="1">
      <alignment horizontal="center" vertical="center"/>
    </xf>
    <xf numFmtId="0" fontId="3" fillId="12" borderId="3" xfId="1" applyFill="1" applyBorder="1" applyAlignment="1">
      <alignment horizontal="center" vertical="center"/>
    </xf>
    <xf numFmtId="0" fontId="10" fillId="8" borderId="19" xfId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3" borderId="6" xfId="0" applyFill="1" applyBorder="1" applyAlignment="1"/>
    <xf numFmtId="0" fontId="17" fillId="35" borderId="57" xfId="1" applyFont="1" applyFill="1" applyBorder="1" applyAlignment="1">
      <alignment horizontal="center" vertical="center"/>
    </xf>
    <xf numFmtId="0" fontId="16" fillId="56" borderId="19" xfId="1" applyFont="1" applyFill="1" applyBorder="1" applyAlignment="1">
      <alignment horizontal="center" vertical="center" wrapText="1"/>
    </xf>
    <xf numFmtId="0" fontId="54" fillId="13" borderId="4" xfId="0" applyFont="1" applyFill="1" applyBorder="1" applyAlignment="1">
      <alignment horizontal="center" vertical="center"/>
    </xf>
    <xf numFmtId="0" fontId="55" fillId="8" borderId="19" xfId="0" applyFont="1" applyFill="1" applyBorder="1" applyAlignment="1">
      <alignment horizontal="center" vertical="center"/>
    </xf>
    <xf numFmtId="169" fontId="40" fillId="8" borderId="19" xfId="0" applyNumberFormat="1" applyFont="1" applyFill="1" applyBorder="1" applyAlignment="1" applyProtection="1">
      <alignment horizontal="center" vertical="center" wrapText="1"/>
      <protection locked="0"/>
    </xf>
    <xf numFmtId="169" fontId="56" fillId="0" borderId="93" xfId="0" applyNumberFormat="1" applyFont="1" applyBorder="1" applyAlignment="1" applyProtection="1">
      <alignment horizontal="center" vertical="center"/>
      <protection locked="0"/>
    </xf>
    <xf numFmtId="169" fontId="57" fillId="0" borderId="93" xfId="0" applyNumberFormat="1" applyFont="1" applyBorder="1" applyAlignment="1" applyProtection="1">
      <alignment horizontal="center" vertical="center"/>
      <protection locked="0"/>
    </xf>
    <xf numFmtId="169" fontId="58" fillId="57" borderId="93" xfId="0" applyNumberFormat="1" applyFont="1" applyFill="1" applyBorder="1" applyAlignment="1" applyProtection="1">
      <alignment horizontal="center" vertical="center" wrapText="1"/>
      <protection locked="0"/>
    </xf>
    <xf numFmtId="169" fontId="58" fillId="0" borderId="93" xfId="0" applyNumberFormat="1" applyFont="1" applyBorder="1" applyAlignment="1" applyProtection="1">
      <alignment horizontal="center" vertical="center"/>
      <protection locked="0"/>
    </xf>
    <xf numFmtId="0" fontId="0" fillId="27" borderId="98" xfId="0" applyFill="1" applyBorder="1" applyAlignment="1">
      <alignment horizontal="center"/>
    </xf>
    <xf numFmtId="0" fontId="59" fillId="27" borderId="99" xfId="0" applyFont="1" applyFill="1" applyBorder="1" applyAlignment="1"/>
    <xf numFmtId="168" fontId="60" fillId="21" borderId="100" xfId="3" applyNumberFormat="1" applyFont="1" applyFill="1" applyBorder="1" applyAlignment="1"/>
    <xf numFmtId="0" fontId="0" fillId="27" borderId="36" xfId="0" applyFill="1" applyBorder="1" applyAlignment="1">
      <alignment horizontal="center"/>
    </xf>
    <xf numFmtId="0" fontId="59" fillId="27" borderId="101" xfId="0" applyFont="1" applyFill="1" applyBorder="1" applyAlignment="1"/>
    <xf numFmtId="168" fontId="60" fillId="21" borderId="78" xfId="3" applyNumberFormat="1" applyFont="1" applyFill="1" applyBorder="1" applyAlignment="1"/>
    <xf numFmtId="168" fontId="60" fillId="21" borderId="57" xfId="3" applyNumberFormat="1" applyFont="1" applyFill="1" applyBorder="1" applyAlignment="1"/>
    <xf numFmtId="0" fontId="0" fillId="37" borderId="104" xfId="0" applyFill="1" applyBorder="1" applyAlignment="1">
      <alignment horizontal="center"/>
    </xf>
    <xf numFmtId="168" fontId="60" fillId="21" borderId="103" xfId="3" applyNumberFormat="1" applyFont="1" applyFill="1" applyBorder="1" applyAlignment="1"/>
    <xf numFmtId="0" fontId="59" fillId="59" borderId="102" xfId="0" applyFont="1" applyFill="1" applyBorder="1" applyAlignment="1"/>
    <xf numFmtId="0" fontId="59" fillId="59" borderId="105" xfId="0" applyFont="1" applyFill="1" applyBorder="1" applyAlignment="1"/>
    <xf numFmtId="0" fontId="0" fillId="35" borderId="98" xfId="0" applyFill="1" applyBorder="1" applyAlignment="1">
      <alignment horizontal="center"/>
    </xf>
    <xf numFmtId="0" fontId="0" fillId="35" borderId="19" xfId="0" applyFill="1" applyBorder="1" applyAlignment="1">
      <alignment horizontal="center"/>
    </xf>
    <xf numFmtId="0" fontId="0" fillId="35" borderId="104" xfId="0" applyFill="1" applyBorder="1" applyAlignment="1">
      <alignment horizontal="center"/>
    </xf>
    <xf numFmtId="0" fontId="0" fillId="12" borderId="36" xfId="0" applyFill="1" applyBorder="1" applyAlignment="1">
      <alignment horizontal="center" vertical="center"/>
    </xf>
    <xf numFmtId="168" fontId="0" fillId="12" borderId="76" xfId="0" applyNumberFormat="1" applyFill="1" applyBorder="1" applyAlignment="1">
      <alignment horizontal="center" vertical="center"/>
    </xf>
    <xf numFmtId="168" fontId="60" fillId="0" borderId="36" xfId="3" applyNumberFormat="1" applyFont="1" applyBorder="1" applyAlignment="1" applyProtection="1">
      <alignment horizontal="center" vertical="center"/>
      <protection locked="0"/>
    </xf>
    <xf numFmtId="168" fontId="61" fillId="8" borderId="36" xfId="3" applyNumberFormat="1" applyFont="1" applyFill="1" applyBorder="1" applyAlignment="1" applyProtection="1">
      <alignment horizontal="center" vertical="center"/>
      <protection locked="0"/>
    </xf>
    <xf numFmtId="0" fontId="62" fillId="8" borderId="19" xfId="0" applyFont="1" applyFill="1" applyBorder="1" applyAlignment="1">
      <alignment horizontal="center" vertical="center" wrapText="1"/>
    </xf>
    <xf numFmtId="0" fontId="54" fillId="13" borderId="1" xfId="0" applyFont="1" applyFill="1" applyBorder="1" applyAlignment="1">
      <alignment horizontal="center" vertical="center"/>
    </xf>
    <xf numFmtId="169" fontId="58" fillId="0" borderId="4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3" fontId="0" fillId="0" borderId="0" xfId="0" applyNumberFormat="1" applyAlignment="1"/>
    <xf numFmtId="0" fontId="0" fillId="13" borderId="4" xfId="0" applyFill="1" applyBorder="1" applyAlignment="1">
      <alignment horizontal="center" vertical="center"/>
    </xf>
    <xf numFmtId="0" fontId="0" fillId="37" borderId="47" xfId="0" applyFill="1" applyBorder="1" applyAlignment="1">
      <alignment horizontal="center"/>
    </xf>
    <xf numFmtId="168" fontId="60" fillId="21" borderId="48" xfId="3" applyNumberFormat="1" applyFont="1" applyFill="1" applyBorder="1" applyAlignment="1"/>
    <xf numFmtId="0" fontId="59" fillId="37" borderId="106" xfId="0" applyFont="1" applyFill="1" applyBorder="1" applyAlignment="1"/>
    <xf numFmtId="0" fontId="41" fillId="13" borderId="4" xfId="0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4" fontId="0" fillId="0" borderId="0" xfId="0" applyNumberFormat="1" applyAlignment="1"/>
    <xf numFmtId="169" fontId="56" fillId="60" borderId="82" xfId="0" applyNumberFormat="1" applyFont="1" applyFill="1" applyBorder="1" applyAlignment="1" applyProtection="1">
      <alignment horizontal="center" vertical="center" wrapText="1"/>
      <protection locked="0"/>
    </xf>
    <xf numFmtId="168" fontId="52" fillId="58" borderId="19" xfId="3" applyNumberFormat="1" applyFill="1" applyBorder="1" applyAlignment="1">
      <alignment horizontal="center" vertical="center"/>
    </xf>
    <xf numFmtId="0" fontId="3" fillId="61" borderId="3" xfId="1" applyFill="1" applyBorder="1" applyAlignment="1">
      <alignment horizontal="center" vertical="center"/>
    </xf>
    <xf numFmtId="0" fontId="0" fillId="27" borderId="104" xfId="0" applyFill="1" applyBorder="1" applyAlignment="1">
      <alignment horizontal="center"/>
    </xf>
    <xf numFmtId="0" fontId="59" fillId="27" borderId="105" xfId="0" applyFont="1" applyFill="1" applyBorder="1" applyAlignment="1"/>
    <xf numFmtId="168" fontId="60" fillId="21" borderId="107" xfId="3" applyNumberFormat="1" applyFont="1" applyFill="1" applyBorder="1" applyAlignment="1"/>
    <xf numFmtId="0" fontId="0" fillId="37" borderId="19" xfId="0" applyFill="1" applyBorder="1" applyAlignment="1">
      <alignment horizontal="center"/>
    </xf>
    <xf numFmtId="0" fontId="59" fillId="37" borderId="102" xfId="0" applyFont="1" applyFill="1" applyBorder="1" applyAlignment="1"/>
    <xf numFmtId="168" fontId="60" fillId="21" borderId="108" xfId="3" applyNumberFormat="1" applyFont="1" applyFill="1" applyBorder="1" applyAlignment="1"/>
    <xf numFmtId="0" fontId="0" fillId="37" borderId="36" xfId="0" applyFill="1" applyBorder="1" applyAlignment="1">
      <alignment horizontal="center"/>
    </xf>
    <xf numFmtId="0" fontId="59" fillId="35" borderId="99" xfId="0" applyFont="1" applyFill="1" applyBorder="1" applyAlignment="1"/>
    <xf numFmtId="0" fontId="59" fillId="35" borderId="102" xfId="0" applyFont="1" applyFill="1" applyBorder="1" applyAlignment="1"/>
    <xf numFmtId="0" fontId="59" fillId="35" borderId="105" xfId="0" applyFont="1" applyFill="1" applyBorder="1" applyAlignment="1"/>
    <xf numFmtId="168" fontId="61" fillId="0" borderId="48" xfId="3" applyNumberFormat="1" applyFont="1" applyBorder="1" applyAlignment="1" applyProtection="1">
      <alignment horizontal="center" vertical="center"/>
      <protection locked="0"/>
    </xf>
    <xf numFmtId="3" fontId="2" fillId="38" borderId="98" xfId="0" applyNumberFormat="1" applyFont="1" applyFill="1" applyBorder="1" applyAlignment="1">
      <alignment horizontal="center" vertical="center"/>
    </xf>
    <xf numFmtId="3" fontId="2" fillId="38" borderId="103" xfId="0" applyNumberFormat="1" applyFont="1" applyFill="1" applyBorder="1" applyAlignment="1">
      <alignment horizontal="center" vertical="center"/>
    </xf>
    <xf numFmtId="3" fontId="2" fillId="38" borderId="36" xfId="0" applyNumberFormat="1" applyFont="1" applyFill="1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64" fillId="49" borderId="1" xfId="0" applyFont="1" applyFill="1" applyBorder="1" applyAlignment="1">
      <alignment horizontal="center"/>
    </xf>
    <xf numFmtId="0" fontId="64" fillId="49" borderId="4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1" fontId="1" fillId="13" borderId="1" xfId="0" applyNumberFormat="1" applyFont="1" applyFill="1" applyBorder="1" applyAlignment="1">
      <alignment horizontal="center"/>
    </xf>
    <xf numFmtId="0" fontId="10" fillId="13" borderId="19" xfId="2" applyFont="1" applyFill="1" applyBorder="1" applyAlignment="1">
      <alignment horizontal="center" vertical="center"/>
    </xf>
    <xf numFmtId="1" fontId="1" fillId="0" borderId="19" xfId="0" applyNumberFormat="1" applyFont="1" applyBorder="1" applyAlignment="1">
      <alignment horizontal="center"/>
    </xf>
    <xf numFmtId="3" fontId="2" fillId="62" borderId="98" xfId="0" applyNumberFormat="1" applyFont="1" applyFill="1" applyBorder="1" applyAlignment="1">
      <alignment horizontal="center" vertical="center"/>
    </xf>
    <xf numFmtId="0" fontId="2" fillId="62" borderId="98" xfId="0" applyFont="1" applyFill="1" applyBorder="1" applyAlignment="1">
      <alignment horizontal="center" vertical="center"/>
    </xf>
    <xf numFmtId="0" fontId="2" fillId="38" borderId="98" xfId="0" applyFont="1" applyFill="1" applyBorder="1" applyAlignment="1">
      <alignment horizontal="center" vertical="center"/>
    </xf>
    <xf numFmtId="3" fontId="2" fillId="62" borderId="36" xfId="0" applyNumberFormat="1" applyFont="1" applyFill="1" applyBorder="1" applyAlignment="1">
      <alignment horizontal="center" vertical="center"/>
    </xf>
    <xf numFmtId="0" fontId="2" fillId="62" borderId="36" xfId="0" applyFont="1" applyFill="1" applyBorder="1" applyAlignment="1">
      <alignment horizontal="center" vertical="center"/>
    </xf>
    <xf numFmtId="0" fontId="2" fillId="38" borderId="36" xfId="0" applyFont="1" applyFill="1" applyBorder="1" applyAlignment="1">
      <alignment horizontal="center" vertical="center"/>
    </xf>
    <xf numFmtId="0" fontId="2" fillId="62" borderId="103" xfId="0" applyFont="1" applyFill="1" applyBorder="1" applyAlignment="1">
      <alignment horizontal="center" vertical="center"/>
    </xf>
    <xf numFmtId="3" fontId="2" fillId="38" borderId="104" xfId="0" applyNumberFormat="1" applyFont="1" applyFill="1" applyBorder="1" applyAlignment="1">
      <alignment horizontal="center" vertical="center"/>
    </xf>
    <xf numFmtId="0" fontId="2" fillId="38" borderId="103" xfId="0" applyFont="1" applyFill="1" applyBorder="1" applyAlignment="1">
      <alignment horizontal="center" vertical="center"/>
    </xf>
    <xf numFmtId="3" fontId="2" fillId="62" borderId="78" xfId="0" applyNumberFormat="1" applyFont="1" applyFill="1" applyBorder="1" applyAlignment="1">
      <alignment horizontal="center" vertical="center"/>
    </xf>
    <xf numFmtId="0" fontId="2" fillId="62" borderId="78" xfId="0" applyFont="1" applyFill="1" applyBorder="1" applyAlignment="1">
      <alignment horizontal="center" vertical="center"/>
    </xf>
    <xf numFmtId="0" fontId="2" fillId="38" borderId="78" xfId="0" applyFont="1" applyFill="1" applyBorder="1" applyAlignment="1">
      <alignment horizontal="center" vertical="center"/>
    </xf>
    <xf numFmtId="0" fontId="2" fillId="62" borderId="48" xfId="0" applyFont="1" applyFill="1" applyBorder="1" applyAlignment="1">
      <alignment horizontal="center" vertical="center"/>
    </xf>
    <xf numFmtId="0" fontId="2" fillId="38" borderId="48" xfId="0" applyFont="1" applyFill="1" applyBorder="1" applyAlignment="1">
      <alignment horizontal="center" vertical="center"/>
    </xf>
    <xf numFmtId="3" fontId="2" fillId="62" borderId="103" xfId="0" applyNumberFormat="1" applyFont="1" applyFill="1" applyBorder="1" applyAlignment="1">
      <alignment horizontal="center" vertical="center"/>
    </xf>
    <xf numFmtId="0" fontId="65" fillId="63" borderId="19" xfId="0" applyFont="1" applyFill="1" applyBorder="1" applyAlignment="1">
      <alignment horizontal="center"/>
    </xf>
    <xf numFmtId="0" fontId="65" fillId="63" borderId="104" xfId="0" applyFont="1" applyFill="1" applyBorder="1" applyAlignment="1">
      <alignment horizontal="center"/>
    </xf>
    <xf numFmtId="3" fontId="2" fillId="62" borderId="109" xfId="0" applyNumberFormat="1" applyFont="1" applyFill="1" applyBorder="1" applyAlignment="1">
      <alignment horizontal="center" vertical="center"/>
    </xf>
    <xf numFmtId="3" fontId="2" fillId="38" borderId="109" xfId="0" applyNumberFormat="1" applyFont="1" applyFill="1" applyBorder="1" applyAlignment="1">
      <alignment horizontal="center" vertical="center"/>
    </xf>
    <xf numFmtId="168" fontId="60" fillId="21" borderId="110" xfId="3" applyNumberFormat="1" applyFont="1" applyFill="1" applyBorder="1" applyAlignment="1"/>
    <xf numFmtId="0" fontId="2" fillId="62" borderId="57" xfId="0" applyFont="1" applyFill="1" applyBorder="1" applyAlignment="1">
      <alignment horizontal="center" vertical="center"/>
    </xf>
    <xf numFmtId="0" fontId="2" fillId="38" borderId="57" xfId="0" applyFont="1" applyFill="1" applyBorder="1" applyAlignment="1">
      <alignment horizontal="center" vertical="center"/>
    </xf>
    <xf numFmtId="3" fontId="2" fillId="64" borderId="36" xfId="0" applyNumberFormat="1" applyFont="1" applyFill="1" applyBorder="1" applyAlignment="1">
      <alignment horizontal="center" vertical="center"/>
    </xf>
    <xf numFmtId="0" fontId="17" fillId="52" borderId="19" xfId="1" applyFont="1" applyFill="1" applyBorder="1" applyAlignment="1">
      <alignment horizontal="center" vertical="center"/>
    </xf>
    <xf numFmtId="0" fontId="13" fillId="34" borderId="7" xfId="1" applyFont="1" applyFill="1" applyBorder="1" applyAlignment="1">
      <alignment horizontal="center" vertical="center"/>
    </xf>
    <xf numFmtId="0" fontId="13" fillId="34" borderId="15" xfId="1" applyFont="1" applyFill="1" applyBorder="1" applyAlignment="1">
      <alignment horizontal="center" vertical="center"/>
    </xf>
    <xf numFmtId="0" fontId="13" fillId="34" borderId="9" xfId="1" applyFont="1" applyFill="1" applyBorder="1" applyAlignment="1">
      <alignment horizontal="center" vertical="center"/>
    </xf>
    <xf numFmtId="0" fontId="13" fillId="34" borderId="11" xfId="1" applyFont="1" applyFill="1" applyBorder="1" applyAlignment="1">
      <alignment horizontal="center" vertical="center"/>
    </xf>
    <xf numFmtId="0" fontId="13" fillId="34" borderId="0" xfId="1" applyFont="1" applyFill="1" applyAlignment="1">
      <alignment horizontal="center" vertical="center"/>
    </xf>
    <xf numFmtId="0" fontId="13" fillId="34" borderId="8" xfId="1" applyFont="1" applyFill="1" applyBorder="1" applyAlignment="1">
      <alignment horizontal="center" vertical="center"/>
    </xf>
    <xf numFmtId="0" fontId="13" fillId="34" borderId="13" xfId="1" applyFont="1" applyFill="1" applyBorder="1" applyAlignment="1">
      <alignment horizontal="center" vertical="center"/>
    </xf>
    <xf numFmtId="0" fontId="13" fillId="34" borderId="17" xfId="1" applyFont="1" applyFill="1" applyBorder="1" applyAlignment="1">
      <alignment horizontal="center" vertical="center"/>
    </xf>
    <xf numFmtId="0" fontId="13" fillId="34" borderId="12" xfId="1" applyFont="1" applyFill="1" applyBorder="1" applyAlignment="1">
      <alignment horizontal="center" vertical="center"/>
    </xf>
    <xf numFmtId="0" fontId="6" fillId="13" borderId="7" xfId="1" applyFont="1" applyFill="1" applyBorder="1" applyAlignment="1">
      <alignment horizontal="center" vertical="center"/>
    </xf>
    <xf numFmtId="0" fontId="3" fillId="13" borderId="15" xfId="1" applyFill="1" applyBorder="1">
      <alignment vertical="center"/>
    </xf>
    <xf numFmtId="0" fontId="3" fillId="13" borderId="13" xfId="1" applyFill="1" applyBorder="1">
      <alignment vertical="center"/>
    </xf>
    <xf numFmtId="0" fontId="12" fillId="13" borderId="17" xfId="1" applyFont="1" applyFill="1" applyBorder="1">
      <alignment vertical="center"/>
    </xf>
    <xf numFmtId="0" fontId="3" fillId="13" borderId="17" xfId="1" applyFill="1" applyBorder="1">
      <alignment vertical="center"/>
    </xf>
    <xf numFmtId="0" fontId="6" fillId="13" borderId="7" xfId="1" applyFont="1" applyFill="1" applyBorder="1" applyAlignment="1">
      <alignment horizontal="center" vertical="center" wrapText="1"/>
    </xf>
    <xf numFmtId="0" fontId="12" fillId="13" borderId="0" xfId="1" applyFont="1" applyFill="1">
      <alignment vertical="center"/>
    </xf>
    <xf numFmtId="0" fontId="3" fillId="13" borderId="9" xfId="1" applyFill="1" applyBorder="1">
      <alignment vertical="center"/>
    </xf>
    <xf numFmtId="0" fontId="3" fillId="13" borderId="11" xfId="1" applyFill="1" applyBorder="1">
      <alignment vertical="center"/>
    </xf>
    <xf numFmtId="0" fontId="3" fillId="13" borderId="0" xfId="1" applyFill="1">
      <alignment vertical="center"/>
    </xf>
    <xf numFmtId="0" fontId="3" fillId="13" borderId="8" xfId="1" applyFill="1" applyBorder="1">
      <alignment vertical="center"/>
    </xf>
    <xf numFmtId="0" fontId="22" fillId="12" borderId="6" xfId="1" applyFont="1" applyFill="1" applyBorder="1" applyAlignment="1">
      <alignment horizontal="center" vertical="center"/>
    </xf>
    <xf numFmtId="0" fontId="22" fillId="12" borderId="4" xfId="1" applyFont="1" applyFill="1" applyBorder="1" applyAlignment="1">
      <alignment horizontal="center" vertical="center"/>
    </xf>
    <xf numFmtId="1" fontId="26" fillId="18" borderId="6" xfId="1" applyNumberFormat="1" applyFont="1" applyFill="1" applyBorder="1" applyAlignment="1">
      <alignment horizontal="center" vertical="center" wrapText="1"/>
    </xf>
    <xf numFmtId="1" fontId="26" fillId="18" borderId="4" xfId="1" applyNumberFormat="1" applyFont="1" applyFill="1" applyBorder="1" applyAlignment="1">
      <alignment horizontal="center" vertical="center" wrapText="1"/>
    </xf>
    <xf numFmtId="0" fontId="3" fillId="0" borderId="4" xfId="1" applyBorder="1" applyAlignment="1">
      <alignment horizontal="left" vertical="center"/>
    </xf>
    <xf numFmtId="3" fontId="15" fillId="27" borderId="4" xfId="1" applyNumberFormat="1" applyFont="1" applyFill="1" applyBorder="1" applyAlignment="1">
      <alignment horizontal="center" vertical="center"/>
    </xf>
    <xf numFmtId="0" fontId="17" fillId="12" borderId="4" xfId="1" applyFont="1" applyFill="1" applyBorder="1" applyAlignment="1">
      <alignment horizontal="center" vertical="center"/>
    </xf>
    <xf numFmtId="0" fontId="15" fillId="27" borderId="4" xfId="1" applyFont="1" applyFill="1" applyBorder="1" applyAlignment="1">
      <alignment horizontal="center" vertical="center"/>
    </xf>
    <xf numFmtId="0" fontId="8" fillId="13" borderId="0" xfId="1" applyFont="1" applyFill="1" applyAlignment="1">
      <alignment horizontal="left" vertical="center"/>
    </xf>
    <xf numFmtId="0" fontId="17" fillId="27" borderId="4" xfId="1" applyFont="1" applyFill="1" applyBorder="1" applyAlignment="1">
      <alignment horizontal="center" vertical="center"/>
    </xf>
    <xf numFmtId="0" fontId="2" fillId="12" borderId="4" xfId="1" applyFont="1" applyFill="1" applyBorder="1" applyAlignment="1">
      <alignment horizontal="center" vertical="center"/>
    </xf>
    <xf numFmtId="0" fontId="15" fillId="16" borderId="4" xfId="1" applyFont="1" applyFill="1" applyBorder="1" applyAlignment="1">
      <alignment horizontal="center" vertical="center"/>
    </xf>
    <xf numFmtId="0" fontId="13" fillId="34" borderId="51" xfId="1" applyFont="1" applyFill="1" applyBorder="1" applyAlignment="1">
      <alignment horizontal="center" vertical="center"/>
    </xf>
    <xf numFmtId="0" fontId="13" fillId="34" borderId="52" xfId="1" applyFont="1" applyFill="1" applyBorder="1" applyAlignment="1">
      <alignment horizontal="center" vertical="center"/>
    </xf>
    <xf numFmtId="0" fontId="13" fillId="34" borderId="53" xfId="1" applyFont="1" applyFill="1" applyBorder="1" applyAlignment="1">
      <alignment horizontal="center" vertical="center"/>
    </xf>
    <xf numFmtId="3" fontId="17" fillId="12" borderId="4" xfId="1" applyNumberFormat="1" applyFont="1" applyFill="1" applyBorder="1" applyAlignment="1">
      <alignment horizontal="center" vertical="center"/>
    </xf>
    <xf numFmtId="0" fontId="17" fillId="12" borderId="6" xfId="1" applyFont="1" applyFill="1" applyBorder="1" applyAlignment="1">
      <alignment horizontal="center" vertical="center"/>
    </xf>
    <xf numFmtId="9" fontId="15" fillId="23" borderId="4" xfId="1" applyNumberFormat="1" applyFont="1" applyFill="1" applyBorder="1" applyAlignment="1">
      <alignment horizontal="center" vertical="center"/>
    </xf>
    <xf numFmtId="0" fontId="15" fillId="16" borderId="4" xfId="1" applyFont="1" applyFill="1" applyBorder="1" applyAlignment="1">
      <alignment horizontal="center" vertical="center" wrapText="1"/>
    </xf>
    <xf numFmtId="0" fontId="6" fillId="13" borderId="11" xfId="1" applyFont="1" applyFill="1" applyBorder="1" applyAlignment="1">
      <alignment horizontal="center" vertical="center" wrapText="1"/>
    </xf>
    <xf numFmtId="0" fontId="6" fillId="13" borderId="15" xfId="1" applyFont="1" applyFill="1" applyBorder="1" applyAlignment="1">
      <alignment horizontal="center" vertical="center" wrapText="1"/>
    </xf>
    <xf numFmtId="0" fontId="6" fillId="13" borderId="0" xfId="1" applyFont="1" applyFill="1" applyAlignment="1">
      <alignment horizontal="center" vertical="center" wrapText="1"/>
    </xf>
    <xf numFmtId="0" fontId="6" fillId="13" borderId="13" xfId="1" applyFont="1" applyFill="1" applyBorder="1" applyAlignment="1">
      <alignment horizontal="center" vertical="center" wrapText="1"/>
    </xf>
    <xf numFmtId="0" fontId="6" fillId="13" borderId="17" xfId="1" applyFont="1" applyFill="1" applyBorder="1" applyAlignment="1">
      <alignment horizontal="center" vertical="center" wrapText="1"/>
    </xf>
    <xf numFmtId="0" fontId="6" fillId="13" borderId="9" xfId="1" applyFont="1" applyFill="1" applyBorder="1" applyAlignment="1">
      <alignment horizontal="center" vertical="center" wrapText="1"/>
    </xf>
    <xf numFmtId="0" fontId="6" fillId="13" borderId="8" xfId="1" applyFont="1" applyFill="1" applyBorder="1" applyAlignment="1">
      <alignment horizontal="center" vertical="center" wrapText="1"/>
    </xf>
    <xf numFmtId="0" fontId="6" fillId="13" borderId="12" xfId="1" applyFont="1" applyFill="1" applyBorder="1" applyAlignment="1">
      <alignment horizontal="center" vertical="center" wrapText="1"/>
    </xf>
    <xf numFmtId="0" fontId="41" fillId="42" borderId="4" xfId="1" applyFont="1" applyFill="1" applyBorder="1" applyAlignment="1">
      <alignment horizontal="center" vertical="center" wrapText="1"/>
    </xf>
    <xf numFmtId="0" fontId="41" fillId="12" borderId="6" xfId="1" applyFont="1" applyFill="1" applyBorder="1" applyAlignment="1">
      <alignment horizontal="center" vertical="center" wrapText="1"/>
    </xf>
    <xf numFmtId="0" fontId="41" fillId="12" borderId="4" xfId="1" applyFont="1" applyFill="1" applyBorder="1" applyAlignment="1">
      <alignment horizontal="center" vertical="center" wrapText="1"/>
    </xf>
    <xf numFmtId="0" fontId="6" fillId="13" borderId="22" xfId="1" applyFont="1" applyFill="1" applyBorder="1" applyAlignment="1">
      <alignment horizontal="center" vertical="center" wrapText="1"/>
    </xf>
    <xf numFmtId="0" fontId="3" fillId="13" borderId="6" xfId="1" applyFill="1" applyBorder="1">
      <alignment vertical="center"/>
    </xf>
    <xf numFmtId="0" fontId="3" fillId="13" borderId="24" xfId="1" applyFill="1" applyBorder="1">
      <alignment vertical="center"/>
    </xf>
    <xf numFmtId="0" fontId="3" fillId="13" borderId="20" xfId="1" applyFill="1" applyBorder="1">
      <alignment vertical="center"/>
    </xf>
    <xf numFmtId="0" fontId="3" fillId="13" borderId="21" xfId="1" applyFill="1" applyBorder="1">
      <alignment vertical="center"/>
    </xf>
    <xf numFmtId="0" fontId="3" fillId="13" borderId="30" xfId="1" applyFill="1" applyBorder="1">
      <alignment vertical="center"/>
    </xf>
    <xf numFmtId="0" fontId="3" fillId="13" borderId="12" xfId="1" applyFill="1" applyBorder="1">
      <alignment vertical="center"/>
    </xf>
    <xf numFmtId="0" fontId="6" fillId="13" borderId="40" xfId="1" applyFont="1" applyFill="1" applyBorder="1" applyAlignment="1">
      <alignment horizontal="center" vertical="center" textRotation="90" wrapText="1"/>
    </xf>
    <xf numFmtId="0" fontId="6" fillId="13" borderId="7" xfId="1" applyFont="1" applyFill="1" applyBorder="1" applyAlignment="1">
      <alignment horizontal="center" vertical="center" textRotation="90"/>
    </xf>
    <xf numFmtId="0" fontId="6" fillId="16" borderId="79" xfId="1" applyFont="1" applyFill="1" applyBorder="1" applyAlignment="1">
      <alignment horizontal="center" vertical="center" wrapText="1"/>
    </xf>
    <xf numFmtId="0" fontId="6" fillId="16" borderId="80" xfId="1" applyFont="1" applyFill="1" applyBorder="1" applyAlignment="1">
      <alignment horizontal="center" vertical="center" wrapText="1"/>
    </xf>
    <xf numFmtId="0" fontId="6" fillId="16" borderId="81" xfId="1" applyFont="1" applyFill="1" applyBorder="1" applyAlignment="1">
      <alignment horizontal="center" vertical="center" wrapText="1"/>
    </xf>
    <xf numFmtId="1" fontId="22" fillId="18" borderId="6" xfId="1" applyNumberFormat="1" applyFont="1" applyFill="1" applyBorder="1" applyAlignment="1">
      <alignment horizontal="center" vertical="center"/>
    </xf>
    <xf numFmtId="1" fontId="22" fillId="18" borderId="4" xfId="1" applyNumberFormat="1" applyFont="1" applyFill="1" applyBorder="1" applyAlignment="1">
      <alignment horizontal="center" vertical="center"/>
    </xf>
    <xf numFmtId="0" fontId="6" fillId="13" borderId="15" xfId="1" applyFont="1" applyFill="1" applyBorder="1" applyAlignment="1">
      <alignment horizontal="center" vertical="center"/>
    </xf>
    <xf numFmtId="0" fontId="6" fillId="13" borderId="11" xfId="1" applyFont="1" applyFill="1" applyBorder="1" applyAlignment="1">
      <alignment horizontal="center" vertical="center"/>
    </xf>
    <xf numFmtId="0" fontId="6" fillId="13" borderId="0" xfId="1" applyFont="1" applyFill="1" applyAlignment="1">
      <alignment horizontal="center" vertical="center"/>
    </xf>
    <xf numFmtId="0" fontId="6" fillId="13" borderId="13" xfId="1" applyFont="1" applyFill="1" applyBorder="1" applyAlignment="1">
      <alignment horizontal="center" vertical="center"/>
    </xf>
    <xf numFmtId="0" fontId="6" fillId="13" borderId="17" xfId="1" applyFont="1" applyFill="1" applyBorder="1" applyAlignment="1">
      <alignment horizontal="center" vertical="center"/>
    </xf>
    <xf numFmtId="1" fontId="8" fillId="23" borderId="65" xfId="0" applyNumberFormat="1" applyFont="1" applyFill="1" applyBorder="1" applyAlignment="1">
      <alignment horizontal="center" vertical="center"/>
    </xf>
    <xf numFmtId="1" fontId="8" fillId="23" borderId="88" xfId="0" applyNumberFormat="1" applyFont="1" applyFill="1" applyBorder="1" applyAlignment="1">
      <alignment horizontal="center" vertical="center"/>
    </xf>
    <xf numFmtId="1" fontId="8" fillId="23" borderId="66" xfId="0" applyNumberFormat="1" applyFont="1" applyFill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27" fillId="11" borderId="59" xfId="1" applyFont="1" applyFill="1" applyBorder="1" applyAlignment="1">
      <alignment horizontal="center" vertical="center"/>
    </xf>
    <xf numFmtId="0" fontId="27" fillId="11" borderId="67" xfId="1" applyFont="1" applyFill="1" applyBorder="1" applyAlignment="1">
      <alignment horizontal="center" vertical="center"/>
    </xf>
    <xf numFmtId="1" fontId="15" fillId="27" borderId="4" xfId="1" applyNumberFormat="1" applyFont="1" applyFill="1" applyBorder="1" applyAlignment="1">
      <alignment horizontal="center" vertical="center"/>
    </xf>
    <xf numFmtId="0" fontId="8" fillId="12" borderId="4" xfId="1" applyFont="1" applyFill="1" applyBorder="1" applyAlignment="1">
      <alignment horizontal="center" vertical="center"/>
    </xf>
    <xf numFmtId="0" fontId="34" fillId="16" borderId="4" xfId="1" applyFont="1" applyFill="1" applyBorder="1" applyAlignment="1">
      <alignment horizontal="center" vertical="center"/>
    </xf>
    <xf numFmtId="0" fontId="15" fillId="48" borderId="44" xfId="1" applyFont="1" applyFill="1" applyBorder="1" applyAlignment="1">
      <alignment horizontal="center" vertical="center"/>
    </xf>
    <xf numFmtId="0" fontId="15" fillId="48" borderId="45" xfId="1" applyFont="1" applyFill="1" applyBorder="1" applyAlignment="1">
      <alignment horizontal="center" vertical="center"/>
    </xf>
    <xf numFmtId="0" fontId="15" fillId="48" borderId="46" xfId="1" applyFont="1" applyFill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1" fontId="17" fillId="12" borderId="4" xfId="1" applyNumberFormat="1" applyFont="1" applyFill="1" applyBorder="1" applyAlignment="1">
      <alignment horizontal="center" vertical="center"/>
    </xf>
    <xf numFmtId="1" fontId="3" fillId="12" borderId="4" xfId="1" applyNumberFormat="1" applyFill="1" applyBorder="1" applyAlignment="1">
      <alignment horizontal="center" vertical="center"/>
    </xf>
    <xf numFmtId="1" fontId="3" fillId="12" borderId="1" xfId="1" applyNumberFormat="1" applyFill="1" applyBorder="1" applyAlignment="1">
      <alignment horizontal="center" vertical="center"/>
    </xf>
    <xf numFmtId="1" fontId="3" fillId="12" borderId="3" xfId="1" applyNumberFormat="1" applyFill="1" applyBorder="1" applyAlignment="1">
      <alignment horizontal="center" vertical="center"/>
    </xf>
    <xf numFmtId="0" fontId="44" fillId="3" borderId="33" xfId="1" applyFont="1" applyFill="1" applyBorder="1" applyAlignment="1">
      <alignment horizontal="center" vertical="center"/>
    </xf>
    <xf numFmtId="0" fontId="27" fillId="0" borderId="59" xfId="1" applyFont="1" applyBorder="1" applyAlignment="1">
      <alignment horizontal="center" vertical="center"/>
    </xf>
    <xf numFmtId="0" fontId="27" fillId="0" borderId="57" xfId="1" applyFont="1" applyBorder="1" applyAlignment="1">
      <alignment horizontal="center" vertical="center"/>
    </xf>
    <xf numFmtId="0" fontId="8" fillId="54" borderId="1" xfId="0" applyFont="1" applyFill="1" applyBorder="1" applyAlignment="1">
      <alignment horizontal="center" vertical="center"/>
    </xf>
    <xf numFmtId="0" fontId="8" fillId="54" borderId="2" xfId="0" applyFont="1" applyFill="1" applyBorder="1" applyAlignment="1">
      <alignment horizontal="center" vertical="center"/>
    </xf>
    <xf numFmtId="0" fontId="8" fillId="54" borderId="94" xfId="0" applyFont="1" applyFill="1" applyBorder="1" applyAlignment="1">
      <alignment horizontal="center" vertical="center"/>
    </xf>
    <xf numFmtId="0" fontId="8" fillId="23" borderId="65" xfId="0" applyFont="1" applyFill="1" applyBorder="1" applyAlignment="1">
      <alignment horizontal="center" vertical="center"/>
    </xf>
    <xf numFmtId="0" fontId="8" fillId="23" borderId="88" xfId="0" applyFont="1" applyFill="1" applyBorder="1" applyAlignment="1">
      <alignment horizontal="center" vertical="center"/>
    </xf>
    <xf numFmtId="0" fontId="8" fillId="23" borderId="66" xfId="0" applyFont="1" applyFill="1" applyBorder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12" fillId="0" borderId="0" xfId="1" applyFont="1">
      <alignment vertical="center"/>
    </xf>
    <xf numFmtId="1" fontId="8" fillId="0" borderId="65" xfId="0" applyNumberFormat="1" applyFont="1" applyBorder="1" applyAlignment="1">
      <alignment horizontal="center" vertical="center"/>
    </xf>
    <xf numFmtId="1" fontId="8" fillId="0" borderId="88" xfId="0" applyNumberFormat="1" applyFont="1" applyBorder="1" applyAlignment="1">
      <alignment horizontal="center" vertical="center"/>
    </xf>
    <xf numFmtId="1" fontId="8" fillId="0" borderId="66" xfId="0" applyNumberFormat="1" applyFont="1" applyBorder="1" applyAlignment="1">
      <alignment horizontal="center" vertical="center"/>
    </xf>
    <xf numFmtId="0" fontId="8" fillId="5" borderId="65" xfId="0" applyFont="1" applyFill="1" applyBorder="1" applyAlignment="1">
      <alignment horizontal="center" vertical="center"/>
    </xf>
    <xf numFmtId="0" fontId="8" fillId="5" borderId="88" xfId="0" applyFont="1" applyFill="1" applyBorder="1" applyAlignment="1">
      <alignment horizontal="center" vertical="center"/>
    </xf>
    <xf numFmtId="0" fontId="8" fillId="5" borderId="66" xfId="0" applyFont="1" applyFill="1" applyBorder="1" applyAlignment="1">
      <alignment horizontal="center" vertical="center"/>
    </xf>
    <xf numFmtId="0" fontId="8" fillId="8" borderId="65" xfId="0" applyFont="1" applyFill="1" applyBorder="1" applyAlignment="1">
      <alignment horizontal="center" vertical="center"/>
    </xf>
    <xf numFmtId="0" fontId="8" fillId="8" borderId="88" xfId="0" applyFont="1" applyFill="1" applyBorder="1" applyAlignment="1">
      <alignment horizontal="center" vertical="center"/>
    </xf>
    <xf numFmtId="0" fontId="8" fillId="8" borderId="66" xfId="0" applyFont="1" applyFill="1" applyBorder="1" applyAlignment="1">
      <alignment horizontal="center" vertical="center"/>
    </xf>
    <xf numFmtId="1" fontId="8" fillId="5" borderId="65" xfId="0" applyNumberFormat="1" applyFont="1" applyFill="1" applyBorder="1" applyAlignment="1">
      <alignment horizontal="center" vertical="center"/>
    </xf>
    <xf numFmtId="1" fontId="8" fillId="5" borderId="88" xfId="0" applyNumberFormat="1" applyFont="1" applyFill="1" applyBorder="1" applyAlignment="1">
      <alignment horizontal="center" vertical="center"/>
    </xf>
    <xf numFmtId="1" fontId="8" fillId="5" borderId="66" xfId="0" applyNumberFormat="1" applyFont="1" applyFill="1" applyBorder="1" applyAlignment="1">
      <alignment horizontal="center" vertical="center"/>
    </xf>
    <xf numFmtId="0" fontId="13" fillId="0" borderId="33" xfId="1" applyFont="1" applyBorder="1" applyAlignment="1">
      <alignment horizontal="center" vertical="center"/>
    </xf>
    <xf numFmtId="0" fontId="16" fillId="17" borderId="86" xfId="1" applyFont="1" applyFill="1" applyBorder="1" applyAlignment="1">
      <alignment horizontal="center" vertical="center"/>
    </xf>
    <xf numFmtId="0" fontId="16" fillId="41" borderId="86" xfId="1" applyFont="1" applyFill="1" applyBorder="1" applyAlignment="1">
      <alignment horizontal="center" vertical="center"/>
    </xf>
    <xf numFmtId="0" fontId="16" fillId="8" borderId="74" xfId="1" applyFont="1" applyFill="1" applyBorder="1" applyAlignment="1">
      <alignment horizontal="center" vertical="center"/>
    </xf>
    <xf numFmtId="0" fontId="15" fillId="12" borderId="33" xfId="1" applyFont="1" applyFill="1" applyBorder="1" applyAlignment="1">
      <alignment horizontal="center" vertical="center"/>
    </xf>
    <xf numFmtId="0" fontId="15" fillId="23" borderId="4" xfId="1" applyFont="1" applyFill="1" applyBorder="1" applyAlignment="1">
      <alignment horizontal="center" vertical="center"/>
    </xf>
    <xf numFmtId="1" fontId="26" fillId="30" borderId="33" xfId="1" applyNumberFormat="1" applyFont="1" applyFill="1" applyBorder="1" applyAlignment="1">
      <alignment horizontal="center" vertical="center"/>
    </xf>
    <xf numFmtId="0" fontId="25" fillId="12" borderId="4" xfId="1" applyFont="1" applyFill="1" applyBorder="1" applyAlignment="1">
      <alignment horizontal="center"/>
    </xf>
    <xf numFmtId="0" fontId="27" fillId="55" borderId="1" xfId="0" applyFont="1" applyFill="1" applyBorder="1" applyAlignment="1">
      <alignment horizontal="center" vertical="center"/>
    </xf>
    <xf numFmtId="0" fontId="27" fillId="55" borderId="2" xfId="0" applyFont="1" applyFill="1" applyBorder="1" applyAlignment="1">
      <alignment horizontal="center" vertical="center"/>
    </xf>
    <xf numFmtId="0" fontId="27" fillId="55" borderId="3" xfId="0" applyFont="1" applyFill="1" applyBorder="1" applyAlignment="1">
      <alignment horizontal="center" vertical="center"/>
    </xf>
    <xf numFmtId="0" fontId="27" fillId="47" borderId="87" xfId="0" applyFont="1" applyFill="1" applyBorder="1" applyAlignment="1">
      <alignment horizontal="center" vertical="center"/>
    </xf>
    <xf numFmtId="0" fontId="27" fillId="47" borderId="88" xfId="0" applyFont="1" applyFill="1" applyBorder="1" applyAlignment="1">
      <alignment horizontal="center" vertical="center"/>
    </xf>
    <xf numFmtId="0" fontId="27" fillId="47" borderId="66" xfId="0" applyFont="1" applyFill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8" fillId="0" borderId="96" xfId="0" applyFont="1" applyBorder="1" applyAlignment="1">
      <alignment horizontal="center" vertical="center"/>
    </xf>
    <xf numFmtId="0" fontId="8" fillId="0" borderId="97" xfId="0" applyFont="1" applyBorder="1" applyAlignment="1">
      <alignment horizontal="center" vertical="center"/>
    </xf>
    <xf numFmtId="0" fontId="0" fillId="48" borderId="0" xfId="0" applyFill="1" applyAlignment="1">
      <alignment horizontal="left"/>
    </xf>
    <xf numFmtId="0" fontId="0" fillId="50" borderId="0" xfId="0" applyFill="1" applyAlignment="1">
      <alignment horizontal="left"/>
    </xf>
    <xf numFmtId="0" fontId="0" fillId="51" borderId="0" xfId="0" applyFill="1" applyAlignment="1">
      <alignment horizontal="left"/>
    </xf>
    <xf numFmtId="0" fontId="31" fillId="14" borderId="0" xfId="0" applyFont="1" applyFill="1" applyAlignment="1">
      <alignment horizontal="left"/>
    </xf>
    <xf numFmtId="0" fontId="0" fillId="52" borderId="0" xfId="0" applyFill="1" applyAlignment="1">
      <alignment horizontal="left"/>
    </xf>
    <xf numFmtId="0" fontId="51" fillId="53" borderId="1" xfId="0" applyFont="1" applyFill="1" applyBorder="1" applyAlignment="1">
      <alignment horizontal="center" vertical="center" indent="1"/>
    </xf>
    <xf numFmtId="0" fontId="51" fillId="53" borderId="2" xfId="0" applyFont="1" applyFill="1" applyBorder="1" applyAlignment="1">
      <alignment horizontal="center" vertical="center" indent="1"/>
    </xf>
    <xf numFmtId="0" fontId="51" fillId="53" borderId="3" xfId="0" applyFont="1" applyFill="1" applyBorder="1" applyAlignment="1">
      <alignment horizontal="center" vertical="center" indent="1"/>
    </xf>
    <xf numFmtId="0" fontId="6" fillId="12" borderId="27" xfId="1" applyFont="1" applyFill="1" applyBorder="1" applyAlignment="1">
      <alignment horizontal="center" vertical="center"/>
    </xf>
    <xf numFmtId="0" fontId="6" fillId="12" borderId="89" xfId="1" applyFont="1" applyFill="1" applyBorder="1" applyAlignment="1">
      <alignment horizontal="center" vertical="center"/>
    </xf>
    <xf numFmtId="0" fontId="48" fillId="12" borderId="23" xfId="1" applyFont="1" applyFill="1" applyBorder="1" applyAlignment="1">
      <alignment horizontal="center" vertical="center"/>
    </xf>
    <xf numFmtId="0" fontId="48" fillId="12" borderId="25" xfId="1" applyFont="1" applyFill="1" applyBorder="1" applyAlignment="1">
      <alignment horizontal="center" vertical="center"/>
    </xf>
    <xf numFmtId="0" fontId="46" fillId="3" borderId="27" xfId="1" applyFont="1" applyFill="1" applyBorder="1" applyAlignment="1">
      <alignment horizontal="center" vertical="center"/>
    </xf>
    <xf numFmtId="0" fontId="46" fillId="3" borderId="89" xfId="1" applyFont="1" applyFill="1" applyBorder="1" applyAlignment="1">
      <alignment horizontal="center" vertical="center"/>
    </xf>
    <xf numFmtId="0" fontId="6" fillId="13" borderId="40" xfId="1" applyFont="1" applyFill="1" applyBorder="1" applyAlignment="1">
      <alignment horizontal="center" vertical="center" textRotation="90"/>
    </xf>
    <xf numFmtId="0" fontId="38" fillId="12" borderId="59" xfId="0" applyFont="1" applyFill="1" applyBorder="1" applyAlignment="1">
      <alignment horizontal="center" vertical="center"/>
    </xf>
    <xf numFmtId="0" fontId="38" fillId="12" borderId="67" xfId="0" applyFont="1" applyFill="1" applyBorder="1" applyAlignment="1">
      <alignment horizontal="center" vertical="center"/>
    </xf>
    <xf numFmtId="0" fontId="38" fillId="12" borderId="57" xfId="0" applyFont="1" applyFill="1" applyBorder="1" applyAlignment="1">
      <alignment horizontal="center" vertical="center"/>
    </xf>
    <xf numFmtId="1" fontId="38" fillId="0" borderId="82" xfId="0" applyNumberFormat="1" applyFont="1" applyBorder="1" applyAlignment="1">
      <alignment horizontal="center" vertical="center"/>
    </xf>
    <xf numFmtId="1" fontId="38" fillId="0" borderId="36" xfId="0" applyNumberFormat="1" applyFont="1" applyBorder="1" applyAlignment="1">
      <alignment horizontal="center" vertical="center"/>
    </xf>
    <xf numFmtId="1" fontId="1" fillId="18" borderId="91" xfId="0" applyNumberFormat="1" applyFont="1" applyFill="1" applyBorder="1" applyAlignment="1">
      <alignment horizontal="center"/>
    </xf>
    <xf numFmtId="1" fontId="1" fillId="18" borderId="86" xfId="0" applyNumberFormat="1" applyFont="1" applyFill="1" applyBorder="1" applyAlignment="1">
      <alignment horizontal="center"/>
    </xf>
    <xf numFmtId="1" fontId="1" fillId="18" borderId="92" xfId="0" applyNumberFormat="1" applyFont="1" applyFill="1" applyBorder="1" applyAlignment="1">
      <alignment horizontal="center"/>
    </xf>
    <xf numFmtId="0" fontId="35" fillId="12" borderId="84" xfId="0" applyFont="1" applyFill="1" applyBorder="1" applyAlignment="1">
      <alignment horizontal="center" vertical="center" wrapText="1"/>
    </xf>
    <xf numFmtId="0" fontId="35" fillId="12" borderId="26" xfId="0" applyFont="1" applyFill="1" applyBorder="1" applyAlignment="1">
      <alignment horizontal="center" vertical="center" wrapText="1"/>
    </xf>
    <xf numFmtId="0" fontId="35" fillId="12" borderId="85" xfId="0" applyFont="1" applyFill="1" applyBorder="1" applyAlignment="1">
      <alignment horizontal="center" vertical="center" wrapText="1"/>
    </xf>
    <xf numFmtId="0" fontId="35" fillId="12" borderId="47" xfId="0" applyFont="1" applyFill="1" applyBorder="1" applyAlignment="1">
      <alignment horizontal="center" vertical="center" wrapText="1"/>
    </xf>
    <xf numFmtId="0" fontId="35" fillId="12" borderId="0" xfId="0" applyFont="1" applyFill="1" applyAlignment="1">
      <alignment horizontal="center" vertical="center" wrapText="1"/>
    </xf>
    <xf numFmtId="0" fontId="35" fillId="12" borderId="48" xfId="0" applyFont="1" applyFill="1" applyBorder="1" applyAlignment="1">
      <alignment horizontal="center" vertical="center" wrapText="1"/>
    </xf>
    <xf numFmtId="0" fontId="35" fillId="12" borderId="76" xfId="0" applyFont="1" applyFill="1" applyBorder="1" applyAlignment="1">
      <alignment horizontal="center" vertical="center" wrapText="1"/>
    </xf>
    <xf numFmtId="0" fontId="35" fillId="12" borderId="77" xfId="0" applyFont="1" applyFill="1" applyBorder="1" applyAlignment="1">
      <alignment horizontal="center" vertical="center" wrapText="1"/>
    </xf>
    <xf numFmtId="0" fontId="35" fillId="12" borderId="78" xfId="0" applyFont="1" applyFill="1" applyBorder="1" applyAlignment="1">
      <alignment horizontal="center" vertical="center" wrapText="1"/>
    </xf>
    <xf numFmtId="14" fontId="38" fillId="12" borderId="59" xfId="0" applyNumberFormat="1" applyFont="1" applyFill="1" applyBorder="1" applyAlignment="1">
      <alignment horizontal="center" vertical="center"/>
    </xf>
    <xf numFmtId="0" fontId="37" fillId="38" borderId="82" xfId="0" applyFont="1" applyFill="1" applyBorder="1" applyAlignment="1">
      <alignment horizontal="center" vertical="center"/>
    </xf>
    <xf numFmtId="0" fontId="37" fillId="38" borderId="83" xfId="0" applyFont="1" applyFill="1" applyBorder="1" applyAlignment="1">
      <alignment horizontal="center" vertical="center"/>
    </xf>
    <xf numFmtId="0" fontId="37" fillId="39" borderId="82" xfId="0" applyFont="1" applyFill="1" applyBorder="1" applyAlignment="1">
      <alignment horizontal="center" vertical="center"/>
    </xf>
    <xf numFmtId="0" fontId="37" fillId="39" borderId="83" xfId="0" applyFont="1" applyFill="1" applyBorder="1" applyAlignment="1">
      <alignment horizontal="center" vertical="center"/>
    </xf>
    <xf numFmtId="1" fontId="0" fillId="0" borderId="82" xfId="0" applyNumberFormat="1" applyBorder="1" applyAlignment="1">
      <alignment horizontal="center" vertical="center"/>
    </xf>
    <xf numFmtId="1" fontId="0" fillId="0" borderId="36" xfId="0" applyNumberFormat="1" applyBorder="1" applyAlignment="1">
      <alignment horizontal="center" vertical="center"/>
    </xf>
    <xf numFmtId="0" fontId="63" fillId="8" borderId="19" xfId="0" applyFont="1" applyFill="1" applyBorder="1" applyAlignment="1">
      <alignment horizontal="center" vertical="center"/>
    </xf>
    <xf numFmtId="0" fontId="36" fillId="12" borderId="59" xfId="0" applyFont="1" applyFill="1" applyBorder="1" applyAlignment="1" applyProtection="1">
      <alignment horizontal="center" vertical="center" wrapText="1"/>
      <protection locked="0"/>
    </xf>
    <xf numFmtId="0" fontId="36" fillId="12" borderId="67" xfId="0" applyFont="1" applyFill="1" applyBorder="1" applyAlignment="1" applyProtection="1">
      <alignment horizontal="center" vertical="center" wrapText="1"/>
      <protection locked="0"/>
    </xf>
    <xf numFmtId="0" fontId="36" fillId="12" borderId="57" xfId="0" applyFont="1" applyFill="1" applyBorder="1" applyAlignment="1" applyProtection="1">
      <alignment horizontal="center" vertical="center" wrapText="1"/>
      <protection locked="0"/>
    </xf>
  </cellXfs>
  <cellStyles count="4">
    <cellStyle name="Millares" xfId="3" builtinId="3"/>
    <cellStyle name="Normal" xfId="0" builtinId="0"/>
    <cellStyle name="Normal 2" xfId="1" xr:uid="{E42D8956-63A8-42A2-9503-868014FA9D28}"/>
    <cellStyle name="Normal 2 2" xfId="2" xr:uid="{26B401D5-0443-4CA8-9211-A5C0CF21F79D}"/>
  </cellStyles>
  <dxfs count="7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B0B0"/>
      <color rgb="FFF2F2F2"/>
      <color rgb="FF7F7F7F"/>
      <color rgb="FFC9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24" Type="http://www.wps.cn/officeDocument/2020/cellImage" Target="NULL"/><Relationship Id="rId5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schemas.microsoft.com/office/2017/06/relationships/rdRichValueStructure" Target="richData/rdrichvaluestructure.xml"/><Relationship Id="rId4" Type="http://schemas.openxmlformats.org/officeDocument/2006/relationships/externalLink" Target="externalLinks/externalLink1.xml"/><Relationship Id="rId9" Type="http://schemas.microsoft.com/office/2017/06/relationships/rdRichValue" Target="richData/rdrichvalue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20</xdr:row>
      <xdr:rowOff>0</xdr:rowOff>
    </xdr:from>
    <xdr:to>
      <xdr:col>1</xdr:col>
      <xdr:colOff>1273938</xdr:colOff>
      <xdr:row>28</xdr:row>
      <xdr:rowOff>23815</xdr:rowOff>
    </xdr:to>
    <xdr:sp macro="" textlink="">
      <xdr:nvSpPr>
        <xdr:cNvPr id="5" name="Rectángulo redondeado 4">
          <a:extLst>
            <a:ext uri="{FF2B5EF4-FFF2-40B4-BE49-F238E27FC236}">
              <a16:creationId xmlns:a16="http://schemas.microsoft.com/office/drawing/2014/main" id="{90F89E0E-D193-4B3E-8033-D9294A5F2851}"/>
            </a:ext>
            <a:ext uri="{147F2762-F138-4A5C-976F-8EAC2B608ADB}">
              <a16:predDERef xmlns:a16="http://schemas.microsoft.com/office/drawing/2014/main" pred="{B4E47922-1214-482F-BC38-1CA6DA318F7B}"/>
            </a:ext>
          </a:extLst>
        </xdr:cNvPr>
        <xdr:cNvSpPr/>
      </xdr:nvSpPr>
      <xdr:spPr>
        <a:xfrm rot="16197738">
          <a:off x="1334674" y="3789776"/>
          <a:ext cx="1395415" cy="1131063"/>
        </a:xfrm>
        <a:prstGeom prst="roundRect">
          <a:avLst/>
        </a:prstGeom>
        <a:solidFill>
          <a:srgbClr val="C9C9C9"/>
        </a:solidFill>
        <a:ln w="9525" cap="flat" cmpd="sng">
          <a:solidFill>
            <a:schemeClr val="tx1"/>
          </a:solidFill>
          <a:prstDash val="solid"/>
          <a:miter/>
          <a:headEnd type="none" w="sm" len="sm"/>
          <a:tailEnd type="none" w="sm" len="sm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lIns="91425" tIns="45699" rIns="91425" bIns="45699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MONTACARGAS</a:t>
          </a:r>
        </a:p>
      </xdr:txBody>
    </xdr:sp>
    <xdr:clientData/>
  </xdr:twoCellAnchor>
  <xdr:twoCellAnchor>
    <xdr:from>
      <xdr:col>0</xdr:col>
      <xdr:colOff>161925</xdr:colOff>
      <xdr:row>9</xdr:row>
      <xdr:rowOff>66675</xdr:rowOff>
    </xdr:from>
    <xdr:to>
      <xdr:col>0</xdr:col>
      <xdr:colOff>600075</xdr:colOff>
      <xdr:row>25</xdr:row>
      <xdr:rowOff>76200</xdr:rowOff>
    </xdr:to>
    <xdr:sp macro="" textlink="">
      <xdr:nvSpPr>
        <xdr:cNvPr id="6" name="Rectángulo redondeado 5">
          <a:extLst>
            <a:ext uri="{FF2B5EF4-FFF2-40B4-BE49-F238E27FC236}">
              <a16:creationId xmlns:a16="http://schemas.microsoft.com/office/drawing/2014/main" id="{2B9D3618-E58F-4D1B-BBC7-8F188EAAF6FF}"/>
            </a:ext>
            <a:ext uri="{147F2762-F138-4A5C-976F-8EAC2B608ADB}">
              <a16:predDERef xmlns:a16="http://schemas.microsoft.com/office/drawing/2014/main" pred="{90F89E0E-D193-4B3E-8033-D9294A5F2851}"/>
            </a:ext>
          </a:extLst>
        </xdr:cNvPr>
        <xdr:cNvSpPr/>
      </xdr:nvSpPr>
      <xdr:spPr>
        <a:xfrm rot="16197738">
          <a:off x="-1023938" y="2967038"/>
          <a:ext cx="2809875" cy="438150"/>
        </a:xfrm>
        <a:prstGeom prst="roundRect">
          <a:avLst/>
        </a:prstGeom>
        <a:solidFill>
          <a:srgbClr val="C9C9C9"/>
        </a:solidFill>
        <a:ln w="9525" cap="flat" cmpd="sng">
          <a:solidFill>
            <a:schemeClr val="tx1"/>
          </a:solidFill>
          <a:prstDash val="solid"/>
          <a:miter/>
          <a:headEnd type="none" w="sm" len="sm"/>
          <a:tailEnd type="none" w="sm" len="sm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lIns="91425" tIns="45699" rIns="91425" bIns="45699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PUERTA PRINCIPAL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heuserbuschinbev-my.sharepoint.com/personal/co313652_gmodelo_com_mx/Documents/Desktop/Control%20de%20Produccion%20Semana%2022%20V4.xlsx" TargetMode="External"/><Relationship Id="rId1" Type="http://schemas.openxmlformats.org/officeDocument/2006/relationships/externalLinkPath" Target="Control%20de%20Produccion%20Semana%2022%20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cion 1 (2)"/>
      <sheetName val="Produccion 21"/>
      <sheetName val="CODIGOS"/>
      <sheetName val="PPA 04"/>
      <sheetName val="Hoja2"/>
      <sheetName val="Produccion"/>
      <sheetName val="Lito"/>
      <sheetName val="Hoja1"/>
    </sheetNames>
    <sheetDataSet>
      <sheetData sheetId="0"/>
      <sheetData sheetId="1"/>
      <sheetData sheetId="2">
        <row r="1">
          <cell r="A1" t="str">
            <v xml:space="preserve">TAPA </v>
          </cell>
          <cell r="B1"/>
          <cell r="C1" t="str">
            <v>LAMINA</v>
          </cell>
          <cell r="D1" t="str">
            <v>REFERENCIA LAMINA</v>
          </cell>
        </row>
        <row r="2">
          <cell r="A2">
            <v>207189</v>
          </cell>
          <cell r="B2" t="str">
            <v>TAPA AGUILA ORIGINAL GENERICA</v>
          </cell>
          <cell r="C2">
            <v>210760</v>
          </cell>
          <cell r="D2" t="str">
            <v xml:space="preserve">LAMINA AGUILA AZUL TIPO D 0.195 </v>
          </cell>
        </row>
        <row r="3">
          <cell r="A3">
            <v>207371</v>
          </cell>
          <cell r="B3" t="str">
            <v>TAPA AGUILA LIGHT R GENERICA</v>
          </cell>
          <cell r="C3">
            <v>211393</v>
          </cell>
          <cell r="D3" t="str">
            <v>LAMINA AGUILA LIGHT TIPO D 0.195 330</v>
          </cell>
        </row>
        <row r="4">
          <cell r="A4">
            <v>211878</v>
          </cell>
          <cell r="B4" t="str">
            <v>TAPA AGUILA LIGHT 330 R CI PRECIO 2200</v>
          </cell>
          <cell r="C4">
            <v>211863</v>
          </cell>
          <cell r="D4" t="str">
            <v xml:space="preserve">LAMINA ÁGUILA LIGHT 330 PS TIPO D  0.195 </v>
          </cell>
        </row>
        <row r="5">
          <cell r="A5">
            <v>208472</v>
          </cell>
          <cell r="B5" t="str">
            <v>TAPA POKER 330R CI</v>
          </cell>
          <cell r="C5">
            <v>210761</v>
          </cell>
          <cell r="D5" t="str">
            <v xml:space="preserve">LAMINA POKER ROJA TIPO D 0.195 </v>
          </cell>
        </row>
        <row r="6">
          <cell r="A6">
            <v>212407</v>
          </cell>
          <cell r="B6" t="str">
            <v>TAPA PRY OFF CLOVER 320 CC PRECIO 2000</v>
          </cell>
          <cell r="C6">
            <v>212403</v>
          </cell>
          <cell r="D6" t="str">
            <v xml:space="preserve">LAMINA COSTEÑA BACANA 2000 TP D 0.195 </v>
          </cell>
        </row>
        <row r="7">
          <cell r="A7">
            <v>211311</v>
          </cell>
          <cell r="B7" t="str">
            <v>TAPA NATIVA 330</v>
          </cell>
          <cell r="C7">
            <v>211691</v>
          </cell>
          <cell r="D7" t="str">
            <v>LAMINA NATIVA SUR TIPO D 0.195</v>
          </cell>
        </row>
        <row r="8">
          <cell r="A8">
            <v>208078</v>
          </cell>
          <cell r="B8" t="str">
            <v>TAPA COLA &amp; POLA ND LG IMG</v>
          </cell>
          <cell r="C8">
            <v>211672</v>
          </cell>
          <cell r="D8" t="str">
            <v>LAMINA COLA &amp; POLA TIPO D 0.195</v>
          </cell>
        </row>
        <row r="9">
          <cell r="A9">
            <v>209630</v>
          </cell>
          <cell r="B9" t="str">
            <v>TAPA EVENTO YO ME CUIDO PERU</v>
          </cell>
          <cell r="C9">
            <v>211305</v>
          </cell>
          <cell r="D9" t="str">
            <v xml:space="preserve">LAMINA YO ME CUIDO PERU  TIPO D 0.195 </v>
          </cell>
        </row>
        <row r="10">
          <cell r="A10">
            <v>212195</v>
          </cell>
          <cell r="B10" t="str">
            <v>TAPA YO ME CUIDO PERU ST</v>
          </cell>
          <cell r="C10">
            <v>212127</v>
          </cell>
          <cell r="D10" t="str">
            <v xml:space="preserve">LAMINA YO ME CUIDO PERU ST TIPO D 0.195 </v>
          </cell>
        </row>
        <row r="11">
          <cell r="A11">
            <v>209629</v>
          </cell>
          <cell r="B11" t="str">
            <v>TAPA GOLDEN PERU</v>
          </cell>
          <cell r="C11">
            <v>212481</v>
          </cell>
          <cell r="D11" t="str">
            <v>LAMINA GOLDEN TIPO D 0.195</v>
          </cell>
        </row>
        <row r="12">
          <cell r="A12">
            <v>209631</v>
          </cell>
          <cell r="B12" t="str">
            <v>TAPA CUSQUEÑA CALIDAD PERU</v>
          </cell>
          <cell r="C12">
            <v>211306</v>
          </cell>
          <cell r="D12" t="str">
            <v>LAMINA CUSQUEÑA CALIDAD TIPO D 0.195</v>
          </cell>
        </row>
        <row r="13">
          <cell r="A13">
            <v>212013</v>
          </cell>
          <cell r="B13" t="str">
            <v>TAPA CLUB COL ROJA R NEW VBI</v>
          </cell>
          <cell r="C13">
            <v>212066</v>
          </cell>
          <cell r="D13" t="str">
            <v>LAMINA CC ROJA TIPO D 0.195 NEW VBI</v>
          </cell>
        </row>
        <row r="14">
          <cell r="A14">
            <v>212014</v>
          </cell>
          <cell r="B14" t="str">
            <v>TAPA CLUB COL NG R NEW VBI</v>
          </cell>
          <cell r="C14">
            <v>212068</v>
          </cell>
          <cell r="D14" t="str">
            <v>LAMINA CC NEGRA TIPO D 0.195 NEW VBI</v>
          </cell>
        </row>
        <row r="15">
          <cell r="A15">
            <v>212016</v>
          </cell>
          <cell r="B15" t="str">
            <v>TAPA CLUB COL DRDA R NEW VBI</v>
          </cell>
          <cell r="C15">
            <v>212019</v>
          </cell>
          <cell r="D15" t="str">
            <v>LAMINA TIPO D 0.195 CLUB COLOM NEW VBI</v>
          </cell>
        </row>
        <row r="16">
          <cell r="A16">
            <v>212265</v>
          </cell>
          <cell r="B16" t="str">
            <v>TAPA CLUB COL DOBLE MALTA 330R FEST</v>
          </cell>
          <cell r="C16">
            <v>212378</v>
          </cell>
          <cell r="D16" t="str">
            <v>LAMINA CC OKTOBERFEST TIPOD 0.195</v>
          </cell>
        </row>
        <row r="17">
          <cell r="A17">
            <v>212080</v>
          </cell>
          <cell r="B17" t="str">
            <v>TAPA BUDWEISER RB PRY OFF 250CC</v>
          </cell>
          <cell r="C17">
            <v>211217</v>
          </cell>
          <cell r="D17" t="str">
            <v>LAMINA BUDWEISER TW TIPO D 0.195</v>
          </cell>
        </row>
        <row r="18">
          <cell r="A18">
            <v>208453</v>
          </cell>
          <cell r="B18" t="str">
            <v>TAPA PONY MALTA GENERICA N CI</v>
          </cell>
          <cell r="C18">
            <v>211216</v>
          </cell>
          <cell r="D18" t="str">
            <v>LAMINA PONY ROJA CI TIPO D 0.195</v>
          </cell>
        </row>
        <row r="19">
          <cell r="A19">
            <v>202732</v>
          </cell>
          <cell r="B19" t="str">
            <v>TAPA COSTEÑITA RET CBARRAS LG</v>
          </cell>
          <cell r="C19">
            <v>212315</v>
          </cell>
          <cell r="D19" t="str">
            <v xml:space="preserve">LAMINA COSTEÑITA CBARRAS LG TIPOD.0.195 </v>
          </cell>
        </row>
        <row r="20">
          <cell r="A20">
            <v>212601</v>
          </cell>
          <cell r="B20" t="str">
            <v>TAPA COSTEÑA 330R/750R</v>
          </cell>
          <cell r="C20">
            <v>212604</v>
          </cell>
          <cell r="D20" t="str">
            <v>LAMINA COSTEÑA ROJA TIPO D0.195</v>
          </cell>
        </row>
        <row r="21">
          <cell r="A21">
            <v>208749</v>
          </cell>
          <cell r="B21" t="str">
            <v>TAPA CORONA 355 MONOLABIAL</v>
          </cell>
          <cell r="C21">
            <v>211209</v>
          </cell>
          <cell r="D21" t="str">
            <v>LAMINA CORONA MARTE TIPO D 0.195</v>
          </cell>
        </row>
        <row r="22">
          <cell r="A22">
            <v>206051</v>
          </cell>
          <cell r="B22" t="str">
            <v>TAPA BBC LG</v>
          </cell>
          <cell r="C22">
            <v>212321</v>
          </cell>
          <cell r="D22" t="str">
            <v>LAMINA BBC LG TIPOD.0.195</v>
          </cell>
        </row>
        <row r="23">
          <cell r="A23">
            <v>212738</v>
          </cell>
          <cell r="B23" t="str">
            <v>TAPA AGUILA ORIGINAL NRB</v>
          </cell>
          <cell r="C23">
            <v>212751</v>
          </cell>
          <cell r="D23" t="str">
            <v>LAMINA AGUILA ORIGINAL NV TIPO D0.195</v>
          </cell>
        </row>
        <row r="24">
          <cell r="A24">
            <v>212814</v>
          </cell>
          <cell r="B24" t="str">
            <v>TAPA CORONA OLIMPICS</v>
          </cell>
          <cell r="C24">
            <v>212797</v>
          </cell>
          <cell r="D24" t="str">
            <v>LAMINA CORONA OLIMPICOS TIPO D 0.195</v>
          </cell>
        </row>
        <row r="25">
          <cell r="A25">
            <v>212739</v>
          </cell>
          <cell r="B25" t="str">
            <v>TAPA AGUILA LIGHT NRB</v>
          </cell>
          <cell r="C25">
            <v>212749</v>
          </cell>
          <cell r="D25" t="str">
            <v>LAMINA AGUILA LIGHT NV TIPO D0.195</v>
          </cell>
        </row>
        <row r="26">
          <cell r="A26">
            <v>212703</v>
          </cell>
          <cell r="B26" t="str">
            <v>TAPA CLUB COL TRIGO 330 R</v>
          </cell>
          <cell r="C26">
            <v>212694</v>
          </cell>
          <cell r="D26" t="str">
            <v>LAMINA CLUB COLOMBIA TRIGO TIPO D0.195</v>
          </cell>
        </row>
        <row r="27">
          <cell r="A27">
            <v>212916</v>
          </cell>
          <cell r="B27" t="str">
            <v>TAPA AGUILA COPA AMERICA</v>
          </cell>
          <cell r="C27">
            <v>212917</v>
          </cell>
          <cell r="D27" t="str">
            <v>LAMINA AGUILA COPA AMERICA TIPO D0.195</v>
          </cell>
        </row>
        <row r="28">
          <cell r="A28">
            <v>213208</v>
          </cell>
          <cell r="B28" t="str">
            <v>TAPA TOUR AGUILA 330</v>
          </cell>
          <cell r="C28">
            <v>213210</v>
          </cell>
          <cell r="D28" t="str">
            <v>LAMINA UV TOUR AGUILA TIPO D0.195</v>
          </cell>
        </row>
        <row r="29">
          <cell r="A29">
            <v>213208</v>
          </cell>
          <cell r="B29" t="str">
            <v>TAPA TOUR AGUILA 330</v>
          </cell>
          <cell r="C29">
            <v>213209</v>
          </cell>
          <cell r="D29" t="str">
            <v>LAMINA COV TOUR AGUILA TIPO D0.195</v>
          </cell>
        </row>
        <row r="30">
          <cell r="A30">
            <v>213146</v>
          </cell>
          <cell r="B30" t="str">
            <v>TAPA AGUILA IMPERIAL 330 R</v>
          </cell>
          <cell r="C30">
            <v>213147</v>
          </cell>
          <cell r="D30" t="str">
            <v>LAMINA AGUILA IMPERIAL TIPO D0.195</v>
          </cell>
        </row>
        <row r="31">
          <cell r="A31">
            <v>212812</v>
          </cell>
          <cell r="B31" t="str">
            <v>TAPA CORONA CERO MX</v>
          </cell>
          <cell r="C31">
            <v>212787</v>
          </cell>
          <cell r="D31" t="str">
            <v>LAMINA CORONA CERO TIPO D 0,195</v>
          </cell>
        </row>
        <row r="32">
          <cell r="A32">
            <v>213229</v>
          </cell>
          <cell r="B32" t="str">
            <v>TAPA COSTEÑA LA VIDA BACANA</v>
          </cell>
          <cell r="C32">
            <v>213237</v>
          </cell>
          <cell r="D32" t="str">
            <v>LAMINA COSTEÑA LA VIDA BACANA</v>
          </cell>
        </row>
        <row r="33">
          <cell r="A33">
            <v>213340</v>
          </cell>
          <cell r="B33" t="str">
            <v>TAPA AGUILA EL CARIBE</v>
          </cell>
          <cell r="C33">
            <v>213356</v>
          </cell>
          <cell r="D33" t="str">
            <v>LAMINA AGUILA CARIBE</v>
          </cell>
        </row>
        <row r="34">
          <cell r="A34">
            <v>213340</v>
          </cell>
          <cell r="B34" t="str">
            <v>TAPA AGUILA EL CARIBE</v>
          </cell>
          <cell r="C34">
            <v>213343</v>
          </cell>
          <cell r="D34" t="str">
            <v>LAMINA AGUILA EL CARIBE  D 0.195</v>
          </cell>
        </row>
        <row r="35">
          <cell r="A35">
            <v>213328</v>
          </cell>
          <cell r="B35" t="str">
            <v>TAPA REDDS CITRUS</v>
          </cell>
          <cell r="C35">
            <v>213354</v>
          </cell>
          <cell r="D35" t="str">
            <v>LAMINA REDDS CITRUS  UV 0.195</v>
          </cell>
        </row>
        <row r="36">
          <cell r="A36">
            <v>213413</v>
          </cell>
          <cell r="B36" t="str">
            <v>TAPA AGUILA GOLES</v>
          </cell>
          <cell r="C36">
            <v>213415</v>
          </cell>
          <cell r="D36" t="str">
            <v>LAMINA AGUILA GOLES UV TIPO D0.195</v>
          </cell>
        </row>
        <row r="37">
          <cell r="A37">
            <v>213304</v>
          </cell>
          <cell r="B37" t="str">
            <v>TAPA CLUB PREMIUM CLASICA</v>
          </cell>
          <cell r="C37">
            <v>213246</v>
          </cell>
          <cell r="D37" t="str">
            <v>LAMINA CLUB PREMIUM CLASICA TIPO D 0.195</v>
          </cell>
        </row>
        <row r="38">
          <cell r="A38">
            <v>213420</v>
          </cell>
          <cell r="B38" t="str">
            <v>TAPA COLA &amp; POLA NUEVA IMAGEN</v>
          </cell>
          <cell r="C38">
            <v>213438</v>
          </cell>
          <cell r="D38" t="str">
            <v>LAMINA COLA &amp; POLA UV TIPO D0.195</v>
          </cell>
        </row>
        <row r="39">
          <cell r="A39">
            <v>213341</v>
          </cell>
          <cell r="B39" t="str">
            <v>TAPA NUTRI MALTA</v>
          </cell>
          <cell r="C39">
            <v>213352</v>
          </cell>
          <cell r="D39" t="str">
            <v>LAMINA NUTRI MALTA D 0.195</v>
          </cell>
        </row>
        <row r="40">
          <cell r="A40">
            <v>213321</v>
          </cell>
          <cell r="B40" t="str">
            <v>TAPA PONY MALTA GO</v>
          </cell>
          <cell r="C40">
            <v>213324</v>
          </cell>
          <cell r="D40" t="str">
            <v>LAMINA PONY MALTA GO 0.195</v>
          </cell>
        </row>
        <row r="41">
          <cell r="A41">
            <v>213481</v>
          </cell>
          <cell r="B41" t="str">
            <v>TAPA PILSEN FRASES</v>
          </cell>
          <cell r="C41">
            <v>213482</v>
          </cell>
          <cell r="D41" t="str">
            <v>LAMINA PILSEN FRASES TIPO D0.195</v>
          </cell>
        </row>
        <row r="42">
          <cell r="A42">
            <v>213349</v>
          </cell>
          <cell r="B42" t="str">
            <v>TAPA NUESTRA SIEMBRA</v>
          </cell>
          <cell r="C42">
            <v>213351</v>
          </cell>
          <cell r="D42" t="str">
            <v>LAMINA NUESTRA SIEMBRA D 0.195</v>
          </cell>
        </row>
        <row r="43">
          <cell r="A43">
            <v>213322</v>
          </cell>
          <cell r="B43" t="str">
            <v>TAPA PONY MALTA ANTOJO</v>
          </cell>
          <cell r="C43">
            <v>213325</v>
          </cell>
          <cell r="D43" t="str">
            <v>LAMINA PONY MALTA ANTOJOS 0.195</v>
          </cell>
        </row>
        <row r="44">
          <cell r="A44">
            <v>213635</v>
          </cell>
          <cell r="B44" t="str">
            <v>TAPA AGUILA LIGHT PROMO ALFA</v>
          </cell>
          <cell r="C44">
            <v>213637</v>
          </cell>
          <cell r="D44" t="str">
            <v>LAMINA AGUILA LGT PROMO ALFA TIP D 0.195</v>
          </cell>
        </row>
        <row r="45">
          <cell r="A45">
            <v>213676</v>
          </cell>
          <cell r="B45" t="str">
            <v>TAPA CLUB ESMERALDA PROM DTR</v>
          </cell>
          <cell r="C45">
            <v>213679</v>
          </cell>
          <cell r="D45" t="str">
            <v>LAMINA CLUB ESMERALDA PROMOCION 0.195</v>
          </cell>
        </row>
        <row r="46">
          <cell r="A46">
            <v>213731</v>
          </cell>
          <cell r="B46" t="str">
            <v>TAPA PROMOCION COSTENA BACANA CENTRO</v>
          </cell>
          <cell r="C46">
            <v>213732</v>
          </cell>
          <cell r="D46" t="str">
            <v>LAMINA COSTEÑA BACANA CENTRO TIPO D 0.195</v>
          </cell>
        </row>
        <row r="47">
          <cell r="A47">
            <v>213735</v>
          </cell>
          <cell r="B47" t="str">
            <v>TAPA RENOVATION POKER</v>
          </cell>
          <cell r="C47">
            <v>213738</v>
          </cell>
          <cell r="D47" t="str">
            <v>LAMINA POKER RENOVACION</v>
          </cell>
        </row>
        <row r="48">
          <cell r="A48"/>
          <cell r="B48"/>
          <cell r="C48">
            <v>213364</v>
          </cell>
          <cell r="D48" t="str">
            <v>LAMINA PILSENER ECUADOR TW TIPO D 0.195</v>
          </cell>
        </row>
        <row r="49">
          <cell r="A49">
            <v>213805</v>
          </cell>
          <cell r="B49" t="str">
            <v>TAPA GENERICA PO 0.195 ECUADOR</v>
          </cell>
          <cell r="C49">
            <v>213807</v>
          </cell>
          <cell r="D49" t="str">
            <v>LAMINA GENERICA PO ECUADOR CONVENCIONAL</v>
          </cell>
        </row>
        <row r="50">
          <cell r="A50">
            <v>213302</v>
          </cell>
          <cell r="B50" t="str">
            <v>TAPA PILSENER</v>
          </cell>
          <cell r="C50">
            <v>213239</v>
          </cell>
          <cell r="D50" t="str">
            <v>LAMINA PILSENER TIPO D 0.195</v>
          </cell>
        </row>
        <row r="51">
          <cell r="A51">
            <v>213361</v>
          </cell>
          <cell r="B51" t="str">
            <v>TAPA CLUB PREMIUM TW ECUADOR</v>
          </cell>
          <cell r="C51">
            <v>213367</v>
          </cell>
          <cell r="D51" t="str">
            <v>LAMINA CLUB PREMIUM TW ECUADOR D0.195</v>
          </cell>
        </row>
        <row r="52">
          <cell r="A52">
            <v>202918</v>
          </cell>
          <cell r="B52" t="str">
            <v>TAPA PONY MALTA TW LG</v>
          </cell>
          <cell r="C52">
            <v>206890</v>
          </cell>
          <cell r="D52" t="str">
            <v>LAMINA PONY MALTA TW</v>
          </cell>
        </row>
        <row r="53">
          <cell r="A53">
            <v>208472</v>
          </cell>
          <cell r="B53" t="str">
            <v>TAPA POKER 330R CI</v>
          </cell>
          <cell r="C53">
            <v>202737</v>
          </cell>
          <cell r="D53" t="str">
            <v>LAMINA POKER 330/750R TIPO A LG</v>
          </cell>
        </row>
        <row r="54">
          <cell r="A54">
            <v>202732</v>
          </cell>
          <cell r="B54" t="str">
            <v>TAPA COSTEÑITA RET CBARRAS LG</v>
          </cell>
          <cell r="C54">
            <v>207301</v>
          </cell>
          <cell r="D54" t="str">
            <v>LAMINA COSTEÑITA TIPO D</v>
          </cell>
        </row>
        <row r="55">
          <cell r="A55">
            <v>208472</v>
          </cell>
          <cell r="B55" t="str">
            <v>TAPA POKER 330R CI</v>
          </cell>
          <cell r="C55">
            <v>208477</v>
          </cell>
          <cell r="D55" t="str">
            <v>LAMINA POKER ROJA RET LG TIPO D 0,17</v>
          </cell>
        </row>
        <row r="56">
          <cell r="A56">
            <v>204340</v>
          </cell>
          <cell r="B56" t="str">
            <v>TAPA REDDS 330R LG FASE II</v>
          </cell>
          <cell r="C56">
            <v>204388</v>
          </cell>
          <cell r="D56" t="str">
            <v>LAMINA REDDS TIPO D LG FASE II</v>
          </cell>
        </row>
        <row r="57">
          <cell r="A57"/>
          <cell r="B57"/>
          <cell r="C57">
            <v>206458</v>
          </cell>
          <cell r="D57" t="str">
            <v>LAMINA CLUB PREMIUM RET TIPO D 0,17 ECU</v>
          </cell>
        </row>
        <row r="58">
          <cell r="A58">
            <v>209957</v>
          </cell>
          <cell r="B58" t="str">
            <v>TAPA PACIFICO CLARA PERU</v>
          </cell>
          <cell r="C58">
            <v>209962</v>
          </cell>
          <cell r="D58" t="str">
            <v xml:space="preserve">LAMINA PACIFICO  PERU </v>
          </cell>
        </row>
        <row r="59">
          <cell r="A59">
            <v>210125</v>
          </cell>
          <cell r="B59" t="str">
            <v>TAPA ESPIGA POKER PURA MALTA 330 NR BBC</v>
          </cell>
          <cell r="C59">
            <v>210128</v>
          </cell>
          <cell r="D59" t="str">
            <v xml:space="preserve">LAMINA POKER BBC PURAMALTA TIPO D 0.17 </v>
          </cell>
        </row>
        <row r="60">
          <cell r="A60">
            <v>213172</v>
          </cell>
          <cell r="B60" t="str">
            <v>TAPA SALVA VIDAS HONDURAS</v>
          </cell>
          <cell r="C60">
            <v>213174</v>
          </cell>
          <cell r="D60" t="str">
            <v>LAMINA SALVA VIDAS TIPO D0.17</v>
          </cell>
        </row>
        <row r="61">
          <cell r="A61">
            <v>213302</v>
          </cell>
          <cell r="B61" t="str">
            <v>TAPA PILSENER</v>
          </cell>
          <cell r="C61">
            <v>213240</v>
          </cell>
          <cell r="D61" t="str">
            <v>LAMINA PILSENER TIPO D 0.17</v>
          </cell>
        </row>
        <row r="62">
          <cell r="A62">
            <v>213303</v>
          </cell>
          <cell r="B62" t="str">
            <v>TAPA PILSENER LIGHT</v>
          </cell>
          <cell r="C62">
            <v>213242</v>
          </cell>
          <cell r="D62" t="str">
            <v>LAMINA PILSENER LIGHT D 0.17</v>
          </cell>
        </row>
        <row r="63">
          <cell r="A63">
            <v>213304</v>
          </cell>
          <cell r="B63" t="str">
            <v>TAPA CLUB PREMIUM CLASICA</v>
          </cell>
          <cell r="C63">
            <v>213245</v>
          </cell>
          <cell r="D63" t="str">
            <v>LAMINA CLUB PREMIUM CLASICA TIPO D 0.17</v>
          </cell>
        </row>
        <row r="64">
          <cell r="A64">
            <v>213303</v>
          </cell>
          <cell r="B64" t="str">
            <v>TAPA PILSENER LIGHT</v>
          </cell>
          <cell r="C64">
            <v>213241</v>
          </cell>
          <cell r="D64" t="str">
            <v>LAMINA PILSENER LIGHT D 0.195</v>
          </cell>
        </row>
        <row r="65">
          <cell r="A65">
            <v>213801</v>
          </cell>
          <cell r="B65" t="str">
            <v>TAPA MCHELOB ULTRA NRB 330</v>
          </cell>
          <cell r="C65">
            <v>213802</v>
          </cell>
          <cell r="D65" t="str">
            <v>LAMINA MCHELOB ULTRA NRB 330 TIPO D0.195</v>
          </cell>
        </row>
        <row r="66">
          <cell r="A66">
            <v>213867</v>
          </cell>
          <cell r="B66" t="str">
            <v>TAPA TEST</v>
          </cell>
          <cell r="C66">
            <v>213868</v>
          </cell>
          <cell r="D66" t="str">
            <v>LAMINA TAPA TEST CONV TIPO D0.195</v>
          </cell>
        </row>
        <row r="67">
          <cell r="A67">
            <v>213867</v>
          </cell>
          <cell r="B67" t="str">
            <v>TAPA TEST</v>
          </cell>
          <cell r="C67">
            <v>213869</v>
          </cell>
          <cell r="D67" t="str">
            <v>LAMINA TAPA TEST UV TIPO D0.195</v>
          </cell>
        </row>
        <row r="68">
          <cell r="A68">
            <v>213883</v>
          </cell>
          <cell r="B68" t="str">
            <v>TAPA PILSENER MUNDIAL ECUADOR</v>
          </cell>
          <cell r="C68">
            <v>213885</v>
          </cell>
          <cell r="D68" t="str">
            <v>LAMINA TIPO D PILSENER MUNDIAL ECUADOR</v>
          </cell>
        </row>
        <row r="69">
          <cell r="A69">
            <v>213883</v>
          </cell>
          <cell r="B69" t="str">
            <v>TAPA PILSENER MUNDIAL ECUADOR</v>
          </cell>
          <cell r="C69">
            <v>213886</v>
          </cell>
          <cell r="D69" t="str">
            <v>LAMINA TIPO D PILSENER UV MUNDIAL EC</v>
          </cell>
        </row>
        <row r="70">
          <cell r="A70">
            <v>202904</v>
          </cell>
          <cell r="B70" t="str">
            <v>TAPA PILSEN GENERICA LG</v>
          </cell>
          <cell r="C70">
            <v>211208</v>
          </cell>
          <cell r="D70" t="str">
            <v>LAMINA PILSEN GENERICA TIP D 0.195</v>
          </cell>
        </row>
        <row r="71">
          <cell r="A71">
            <v>206943</v>
          </cell>
          <cell r="B71" t="str">
            <v>TAPA PILSEN 750 RET LG</v>
          </cell>
          <cell r="C71">
            <v>211208</v>
          </cell>
          <cell r="D71" t="str">
            <v>LAMINA PILSEN GENERICA TIP D 0.195</v>
          </cell>
        </row>
        <row r="72">
          <cell r="A72">
            <v>213994</v>
          </cell>
          <cell r="B72" t="str">
            <v>TAPA AGUILA MF 2026</v>
          </cell>
          <cell r="C72">
            <v>213995</v>
          </cell>
          <cell r="D72" t="str">
            <v>LAMINA AGUILA MF 2026 CONV TIPO D 0,195</v>
          </cell>
        </row>
        <row r="73">
          <cell r="A73">
            <v>213994</v>
          </cell>
          <cell r="B73" t="str">
            <v>TAPA AGUILA MF 2026</v>
          </cell>
          <cell r="C73">
            <v>213996</v>
          </cell>
          <cell r="D73" t="str">
            <v>LAMINA AGUILA MF 2026 UV TIPO D 0,195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607F-D4CC-4CDF-BA34-13294F90555E}">
  <dimension ref="A1:AE99"/>
  <sheetViews>
    <sheetView zoomScale="85" zoomScaleNormal="85" workbookViewId="0">
      <selection activeCell="V39" sqref="V39"/>
    </sheetView>
  </sheetViews>
  <sheetFormatPr defaultColWidth="7.96484375" defaultRowHeight="14.25" customHeight="1" x14ac:dyDescent="0.15"/>
  <cols>
    <col min="1" max="1" width="10.05078125" style="185" bestFit="1" customWidth="1"/>
    <col min="2" max="2" width="44.62109375" style="185" customWidth="1"/>
    <col min="3" max="3" width="12.50390625" style="185" bestFit="1" customWidth="1"/>
    <col min="4" max="4" width="12.01171875" style="185" bestFit="1" customWidth="1"/>
    <col min="5" max="5" width="12.37890625" style="185" bestFit="1" customWidth="1"/>
    <col min="6" max="6" width="14.33984375" style="185" bestFit="1" customWidth="1"/>
    <col min="7" max="7" width="20.47265625" style="185" bestFit="1" customWidth="1"/>
    <col min="8" max="8" width="11.890625" style="185" customWidth="1"/>
    <col min="9" max="9" width="12.50390625" style="185" customWidth="1"/>
    <col min="10" max="10" width="36.53125" style="185" customWidth="1"/>
    <col min="11" max="11" width="12.9921875" style="185" bestFit="1" customWidth="1"/>
    <col min="12" max="12" width="14.46484375" style="185" bestFit="1" customWidth="1"/>
    <col min="13" max="13" width="7.96484375" style="185" customWidth="1"/>
    <col min="14" max="14" width="18.75390625" style="260" customWidth="1"/>
    <col min="15" max="15" width="12.625" style="260" customWidth="1"/>
    <col min="16" max="16" width="62.27734375" style="185" customWidth="1"/>
    <col min="17" max="17" width="18.51171875" style="185" customWidth="1"/>
    <col min="18" max="19" width="12.74609375" style="185" bestFit="1" customWidth="1"/>
    <col min="20" max="24" width="12.50390625" style="185" bestFit="1" customWidth="1"/>
    <col min="25" max="25" width="17.8984375" style="185" customWidth="1"/>
    <col min="26" max="26" width="10.41796875" style="185" bestFit="1" customWidth="1"/>
    <col min="27" max="28" width="7.96484375" style="185"/>
    <col min="29" max="29" width="35.796875" style="185" customWidth="1"/>
    <col min="30" max="30" width="8.2109375" style="185" bestFit="1" customWidth="1"/>
    <col min="31" max="31" width="48.1796875" style="185" bestFit="1" customWidth="1"/>
    <col min="32" max="16384" width="7.96484375" style="185"/>
  </cols>
  <sheetData>
    <row r="1" spans="1:31" ht="24.75" customHeight="1" x14ac:dyDescent="0.15">
      <c r="A1" s="195" t="s">
        <v>0</v>
      </c>
      <c r="B1" s="196" t="s">
        <v>1</v>
      </c>
      <c r="C1" s="197" t="s">
        <v>2</v>
      </c>
      <c r="D1" s="198" t="s">
        <v>3</v>
      </c>
      <c r="E1" s="199" t="s">
        <v>4</v>
      </c>
      <c r="F1" s="200" t="s">
        <v>5</v>
      </c>
      <c r="G1" s="526"/>
      <c r="H1" s="527"/>
      <c r="I1" s="527"/>
      <c r="J1" s="528"/>
      <c r="K1" s="200" t="s">
        <v>6</v>
      </c>
      <c r="L1" s="276"/>
      <c r="N1" s="324" t="s">
        <v>7</v>
      </c>
      <c r="O1" s="542" t="s">
        <v>8</v>
      </c>
      <c r="P1" s="542"/>
      <c r="Q1" s="315" t="s">
        <v>9</v>
      </c>
      <c r="R1" s="291" t="s">
        <v>10</v>
      </c>
      <c r="S1" s="291" t="s">
        <v>11</v>
      </c>
      <c r="T1" s="291" t="s">
        <v>12</v>
      </c>
      <c r="U1" s="291" t="s">
        <v>13</v>
      </c>
      <c r="V1" s="291" t="s">
        <v>14</v>
      </c>
      <c r="W1" s="291" t="s">
        <v>15</v>
      </c>
      <c r="X1" s="291" t="s">
        <v>16</v>
      </c>
      <c r="Y1" s="292" t="s">
        <v>17</v>
      </c>
      <c r="AB1" s="325" t="s">
        <v>18</v>
      </c>
      <c r="AC1" s="325"/>
      <c r="AD1" s="325" t="s">
        <v>19</v>
      </c>
      <c r="AE1" s="325" t="s">
        <v>20</v>
      </c>
    </row>
    <row r="2" spans="1:31" ht="14.25" customHeight="1" thickBot="1" x14ac:dyDescent="0.2">
      <c r="A2" s="536">
        <v>306780</v>
      </c>
      <c r="B2" s="538" t="s">
        <v>21</v>
      </c>
      <c r="C2" s="350">
        <f>'MODELO LAYOUT'!B54</f>
        <v>141</v>
      </c>
      <c r="D2" s="350">
        <f>'MODELO LAYOUT'!F54</f>
        <v>0</v>
      </c>
      <c r="E2" s="350">
        <f>'MODELO LAYOUT'!D54</f>
        <v>126</v>
      </c>
      <c r="F2" s="540">
        <f>C3</f>
        <v>267</v>
      </c>
      <c r="G2" s="529"/>
      <c r="H2" s="530"/>
      <c r="I2" s="530"/>
      <c r="J2" s="531"/>
      <c r="K2" s="521">
        <f>(C3)-G3</f>
        <v>267</v>
      </c>
      <c r="L2" s="277"/>
      <c r="N2" s="293" t="s">
        <v>22</v>
      </c>
      <c r="O2" s="293" t="s">
        <v>22</v>
      </c>
      <c r="P2" s="294" t="s">
        <v>23</v>
      </c>
      <c r="Q2" s="295" t="s">
        <v>24</v>
      </c>
      <c r="R2" s="296">
        <v>46160</v>
      </c>
      <c r="S2" s="296">
        <v>46161</v>
      </c>
      <c r="T2" s="296">
        <v>46162</v>
      </c>
      <c r="U2" s="296">
        <v>46163</v>
      </c>
      <c r="V2" s="296">
        <v>46164</v>
      </c>
      <c r="W2" s="296">
        <v>46165</v>
      </c>
      <c r="X2" s="317">
        <v>46166</v>
      </c>
      <c r="Y2" s="327" t="s">
        <v>25</v>
      </c>
      <c r="AB2" s="286">
        <v>207189</v>
      </c>
      <c r="AC2" s="286" t="s">
        <v>26</v>
      </c>
      <c r="AD2" s="286">
        <v>210760</v>
      </c>
      <c r="AE2" s="287" t="s">
        <v>27</v>
      </c>
    </row>
    <row r="3" spans="1:31" ht="13.5" customHeight="1" x14ac:dyDescent="0.15">
      <c r="A3" s="537"/>
      <c r="B3" s="539"/>
      <c r="C3" s="523">
        <f>SUM(C2:E2)</f>
        <v>267</v>
      </c>
      <c r="D3" s="524"/>
      <c r="E3" s="525"/>
      <c r="F3" s="541"/>
      <c r="G3" s="532"/>
      <c r="H3" s="533"/>
      <c r="I3" s="533"/>
      <c r="J3" s="534"/>
      <c r="K3" s="522"/>
      <c r="L3" s="278"/>
      <c r="N3" s="316">
        <f>IFERROR(VLOOKUP(O3,$AB$2:$AE$80,3,0)," ")</f>
        <v>212315</v>
      </c>
      <c r="O3" s="297">
        <v>202732</v>
      </c>
      <c r="P3" s="298" t="str">
        <f>IFERROR(_xlfn.CONCAT(VLOOKUP(O3,[1]CODIGOS!$A$1:$D$750,2,0),"    ",O3,"    ","LINEA  ",N3,)," ")</f>
        <v>TAPA COSTEÑITA RET CBARRAS LG    202732    LINEA  212315</v>
      </c>
      <c r="Q3" s="299"/>
      <c r="R3" s="351">
        <v>3663000</v>
      </c>
      <c r="S3" s="352"/>
      <c r="T3" s="351"/>
      <c r="U3" s="353">
        <f>225*11000</f>
        <v>2475000</v>
      </c>
      <c r="V3" s="353">
        <f>120*11000</f>
        <v>1320000</v>
      </c>
      <c r="W3" s="353"/>
      <c r="X3" s="341"/>
      <c r="Y3" s="328">
        <f>SUM(U3:X3)</f>
        <v>3795000</v>
      </c>
      <c r="AB3" s="258">
        <v>207371</v>
      </c>
      <c r="AC3" s="286" t="s">
        <v>28</v>
      </c>
      <c r="AD3" s="258">
        <v>211393</v>
      </c>
      <c r="AE3" s="259" t="s">
        <v>29</v>
      </c>
    </row>
    <row r="4" spans="1:31" ht="13.5" customHeight="1" x14ac:dyDescent="0.15">
      <c r="A4" s="201" t="s">
        <v>30</v>
      </c>
      <c r="B4" s="202" t="s">
        <v>31</v>
      </c>
      <c r="C4" s="203" t="s">
        <v>32</v>
      </c>
      <c r="D4" s="204" t="s">
        <v>33</v>
      </c>
      <c r="E4" s="205" t="s">
        <v>34</v>
      </c>
      <c r="F4" s="206" t="s">
        <v>35</v>
      </c>
      <c r="G4" s="207" t="s">
        <v>36</v>
      </c>
      <c r="H4" s="543" t="s">
        <v>37</v>
      </c>
      <c r="I4" s="544"/>
      <c r="J4" s="545"/>
      <c r="K4" s="200" t="s">
        <v>38</v>
      </c>
      <c r="L4" s="275" t="s">
        <v>39</v>
      </c>
      <c r="N4" s="316">
        <f t="shared" ref="N4:N19" si="0">IFERROR(VLOOKUP(O4,$AB$2:$AE$80,3,0)," ")</f>
        <v>213995</v>
      </c>
      <c r="O4" s="300">
        <v>213994</v>
      </c>
      <c r="P4" s="301" t="str">
        <f>IFERROR(_xlfn.CONCAT(VLOOKUP(O4,[1]CODIGOS!$A$1:$D$750,2,0),"    ",O4,"    ","LINEA  ",N4,)," ")</f>
        <v>TAPA AGUILA MF 2026    213994    LINEA  213995</v>
      </c>
      <c r="Q4" s="302"/>
      <c r="R4" s="354">
        <v>2376000</v>
      </c>
      <c r="S4" s="354">
        <v>5907000</v>
      </c>
      <c r="T4" s="354"/>
      <c r="U4" s="343"/>
      <c r="V4" s="343"/>
      <c r="W4" s="343">
        <f>129*11000</f>
        <v>1419000</v>
      </c>
      <c r="X4" s="343">
        <f>175*11000</f>
        <v>1925000</v>
      </c>
      <c r="Y4" s="328">
        <f t="shared" ref="Y4:Y19" si="1">SUM(U4:X4)</f>
        <v>3344000</v>
      </c>
      <c r="AB4" s="258">
        <v>211878</v>
      </c>
      <c r="AC4" s="286" t="s">
        <v>40</v>
      </c>
      <c r="AD4" s="258">
        <v>211863</v>
      </c>
      <c r="AE4" s="259" t="s">
        <v>41</v>
      </c>
    </row>
    <row r="5" spans="1:31" ht="14.25" customHeight="1" x14ac:dyDescent="0.15">
      <c r="A5" s="186">
        <v>210760</v>
      </c>
      <c r="B5" s="187" t="str">
        <f t="shared" ref="B5:B50" si="2">VLOOKUP(A5,$AD$1:$AE$89,2,0)</f>
        <v xml:space="preserve">LAMINA AGUILA AZUL TIPO D 0.195 </v>
      </c>
      <c r="C5" s="188">
        <v>207189</v>
      </c>
      <c r="D5" s="347">
        <f>SUMIF(DATA!$A:$A,$A5,DATA!$B:$B)-SUMIFS(DATA!$B:$B,DATA!$A:$A,$A5,DATA!$E:$E,$L$1)-3760</f>
        <v>1165</v>
      </c>
      <c r="E5" s="348">
        <f>D5/1690</f>
        <v>0.68934911242603547</v>
      </c>
      <c r="F5" s="189">
        <f>+L5/667/1690</f>
        <v>0</v>
      </c>
      <c r="G5" s="190"/>
      <c r="H5" s="518"/>
      <c r="I5" s="519"/>
      <c r="J5" s="520"/>
      <c r="K5" s="191">
        <f t="shared" ref="K5:K46" si="3">(E5+G5)-F5</f>
        <v>0.68934911242603547</v>
      </c>
      <c r="L5" s="257">
        <f t="shared" ref="L5:L52" si="4">IFERROR(SUMIF($N$3:$N$38,A5,$Y$3:$Y$39)," ")</f>
        <v>0</v>
      </c>
      <c r="N5" s="316">
        <f t="shared" si="0"/>
        <v>212694</v>
      </c>
      <c r="O5" s="300">
        <v>212703</v>
      </c>
      <c r="P5" s="301" t="str">
        <f>IFERROR(_xlfn.CONCAT(VLOOKUP(O5,[1]CODIGOS!$A$1:$D$750,2,0),"    ",O5,"    ","LINEA  ",N5,)," ")</f>
        <v>TAPA CLUB COL TRIGO 330 R    212703    LINEA  212694</v>
      </c>
      <c r="Q5" s="302"/>
      <c r="R5" s="355"/>
      <c r="S5" s="354">
        <v>484000</v>
      </c>
      <c r="T5" s="354">
        <v>536431</v>
      </c>
      <c r="U5" s="343"/>
      <c r="V5" s="343"/>
      <c r="W5" s="343"/>
      <c r="X5" s="343"/>
      <c r="Y5" s="328">
        <f t="shared" si="1"/>
        <v>0</v>
      </c>
      <c r="AB5" s="258">
        <v>208472</v>
      </c>
      <c r="AC5" s="286" t="s">
        <v>42</v>
      </c>
      <c r="AD5" s="258">
        <v>210761</v>
      </c>
      <c r="AE5" s="259" t="s">
        <v>43</v>
      </c>
    </row>
    <row r="6" spans="1:31" ht="14.25" customHeight="1" x14ac:dyDescent="0.2">
      <c r="A6" s="186">
        <v>211393</v>
      </c>
      <c r="B6" s="187" t="str">
        <f t="shared" si="2"/>
        <v>LAMINA AGUILA LIGHT TIPO D 0.195 330</v>
      </c>
      <c r="C6" s="188">
        <v>207371</v>
      </c>
      <c r="D6" s="347">
        <f>SUMIF(DATA!$A:$A,$A6,DATA!$B:$B)-SUMIFS(DATA!$B:$B,DATA!$A:$A,$A6,DATA!$E:$E,$L$1)</f>
        <v>0</v>
      </c>
      <c r="E6" s="348">
        <f t="shared" ref="E6:E52" si="5">D6/1690</f>
        <v>0</v>
      </c>
      <c r="F6" s="189">
        <f t="shared" ref="F6:F52" si="6">+L6/667/1690</f>
        <v>0</v>
      </c>
      <c r="G6" s="190"/>
      <c r="H6" s="518"/>
      <c r="I6" s="519"/>
      <c r="J6" s="520"/>
      <c r="K6" s="191">
        <f t="shared" si="3"/>
        <v>0</v>
      </c>
      <c r="L6" s="257">
        <f t="shared" si="4"/>
        <v>0</v>
      </c>
      <c r="N6" s="316">
        <f t="shared" si="0"/>
        <v>213868</v>
      </c>
      <c r="O6" s="300">
        <v>213867</v>
      </c>
      <c r="P6" s="301" t="str">
        <f>IFERROR(_xlfn.CONCAT(VLOOKUP(O6,[1]CODIGOS!$A$1:$D$750,2,0),"    ",O6,"    ","LINEA  ",N6,)," ")</f>
        <v>TAPA TEST    213867    LINEA  213868</v>
      </c>
      <c r="Q6" s="302"/>
      <c r="R6" s="355"/>
      <c r="S6" s="355"/>
      <c r="T6" s="354">
        <v>5709000</v>
      </c>
      <c r="U6" s="373">
        <f>2255000+935000</f>
        <v>3190000</v>
      </c>
      <c r="V6" s="356"/>
      <c r="W6" s="356"/>
      <c r="X6" s="356"/>
      <c r="Y6" s="328">
        <f t="shared" si="1"/>
        <v>3190000</v>
      </c>
      <c r="AB6" s="258">
        <v>212407</v>
      </c>
      <c r="AC6" s="286" t="s">
        <v>44</v>
      </c>
      <c r="AD6" s="258">
        <v>212403</v>
      </c>
      <c r="AE6" s="259" t="s">
        <v>45</v>
      </c>
    </row>
    <row r="7" spans="1:31" ht="14.25" customHeight="1" thickBot="1" x14ac:dyDescent="0.2">
      <c r="A7" s="186">
        <v>211863</v>
      </c>
      <c r="B7" s="187" t="str">
        <f t="shared" si="2"/>
        <v xml:space="preserve">LAMINA ÁGUILA LIGHT 330 PS TIPO D  0.195 </v>
      </c>
      <c r="C7" s="188">
        <v>211878</v>
      </c>
      <c r="D7" s="347">
        <f>SUMIF(DATA!$A:$A,$A7,DATA!$B:$B)-SUMIFS(DATA!$B:$B,DATA!$A:$A,$A7,DATA!$E:$E,$L$1)</f>
        <v>0</v>
      </c>
      <c r="E7" s="348">
        <f t="shared" si="5"/>
        <v>0</v>
      </c>
      <c r="F7" s="189">
        <f t="shared" si="6"/>
        <v>0</v>
      </c>
      <c r="G7" s="190"/>
      <c r="H7" s="535"/>
      <c r="I7" s="519"/>
      <c r="J7" s="520"/>
      <c r="K7" s="191">
        <f t="shared" si="3"/>
        <v>0</v>
      </c>
      <c r="L7" s="257">
        <f t="shared" si="4"/>
        <v>0</v>
      </c>
      <c r="N7" s="316">
        <f t="shared" si="0"/>
        <v>213367</v>
      </c>
      <c r="O7" s="330">
        <v>213361</v>
      </c>
      <c r="P7" s="331" t="str">
        <f>IFERROR(_xlfn.CONCAT(VLOOKUP(O7,[1]CODIGOS!$A$1:$D$750,2,0),"    ",O7,"    ","LINEA  ",N7,)," ")</f>
        <v>TAPA CLUB PREMIUM TW ECUADOR    213361    LINEA  213367</v>
      </c>
      <c r="Q7" s="332"/>
      <c r="R7" s="357"/>
      <c r="S7" s="357"/>
      <c r="T7" s="357"/>
      <c r="U7" s="358"/>
      <c r="V7" s="358">
        <f>409*11000</f>
        <v>4499000</v>
      </c>
      <c r="W7" s="358">
        <f>390*11000</f>
        <v>4290000</v>
      </c>
      <c r="X7" s="359"/>
      <c r="Y7" s="328">
        <f t="shared" si="1"/>
        <v>8789000</v>
      </c>
      <c r="AB7" s="258">
        <v>211311</v>
      </c>
      <c r="AC7" s="286" t="s">
        <v>46</v>
      </c>
      <c r="AD7" s="258">
        <v>211691</v>
      </c>
      <c r="AE7" s="259" t="s">
        <v>47</v>
      </c>
    </row>
    <row r="8" spans="1:31" ht="14.25" customHeight="1" x14ac:dyDescent="0.15">
      <c r="A8" s="186">
        <v>210761</v>
      </c>
      <c r="B8" s="187" t="str">
        <f t="shared" si="2"/>
        <v xml:space="preserve">LAMINA POKER ROJA TIPO D 0.195 </v>
      </c>
      <c r="C8" s="188">
        <v>208472</v>
      </c>
      <c r="D8" s="347">
        <f>SUMIF(DATA!$A:$A,$A8,DATA!$B:$B)-SUMIFS(DATA!$B:$B,DATA!$A:$A,$A8,DATA!$E:$E,$L$1)</f>
        <v>886</v>
      </c>
      <c r="E8" s="348">
        <f t="shared" si="5"/>
        <v>0.52426035502958579</v>
      </c>
      <c r="F8" s="189">
        <f t="shared" si="6"/>
        <v>0</v>
      </c>
      <c r="G8" s="190"/>
      <c r="H8" s="518"/>
      <c r="I8" s="519"/>
      <c r="J8" s="520"/>
      <c r="K8" s="191">
        <f t="shared" si="3"/>
        <v>0.52426035502958579</v>
      </c>
      <c r="L8" s="257">
        <f t="shared" si="4"/>
        <v>0</v>
      </c>
      <c r="N8" s="316">
        <f t="shared" si="0"/>
        <v>213738</v>
      </c>
      <c r="O8" s="336">
        <v>213735</v>
      </c>
      <c r="P8" s="334" t="str">
        <f>IFERROR(_xlfn.CONCAT(VLOOKUP(O8,[1]CODIGOS!$A$1:$D$750,2,0),"    ",O8,"    ","LINEA  ",N8,)," ")</f>
        <v>TAPA RENOVATION POKER    213735    LINEA  213738</v>
      </c>
      <c r="Q8" s="335"/>
      <c r="R8" s="360">
        <v>5027000</v>
      </c>
      <c r="S8" s="361"/>
      <c r="T8" s="361"/>
      <c r="U8" s="362"/>
      <c r="V8" s="362"/>
      <c r="W8" s="362"/>
      <c r="X8" s="362"/>
      <c r="Y8" s="328">
        <f t="shared" si="1"/>
        <v>0</v>
      </c>
      <c r="AB8" s="258">
        <v>208078</v>
      </c>
      <c r="AC8" s="286" t="s">
        <v>48</v>
      </c>
      <c r="AD8" s="258">
        <v>211672</v>
      </c>
      <c r="AE8" s="259" t="s">
        <v>49</v>
      </c>
    </row>
    <row r="9" spans="1:31" ht="14.25" customHeight="1" x14ac:dyDescent="0.15">
      <c r="A9" s="186">
        <v>211208</v>
      </c>
      <c r="B9" s="187" t="str">
        <f t="shared" si="2"/>
        <v>LAMINA PILSEN GENERICA TIP D 0.195</v>
      </c>
      <c r="C9" s="188">
        <v>211824</v>
      </c>
      <c r="D9" s="347">
        <f>SUMIF(DATA!$A:$A,$A9,DATA!$B:$B)-SUMIFS(DATA!$B:$B,DATA!$A:$A,$A9,DATA!$E:$E,$L$1)</f>
        <v>15323</v>
      </c>
      <c r="E9" s="348">
        <f t="shared" si="5"/>
        <v>9.0668639053254445</v>
      </c>
      <c r="F9" s="189">
        <f t="shared" si="6"/>
        <v>0</v>
      </c>
      <c r="G9" s="190"/>
      <c r="H9" s="518"/>
      <c r="I9" s="519"/>
      <c r="J9" s="520"/>
      <c r="K9" s="191">
        <f t="shared" si="3"/>
        <v>9.0668639053254445</v>
      </c>
      <c r="L9" s="257">
        <f t="shared" si="4"/>
        <v>0</v>
      </c>
      <c r="N9" s="316">
        <f t="shared" si="0"/>
        <v>212315</v>
      </c>
      <c r="O9" s="333">
        <v>202732</v>
      </c>
      <c r="P9" s="334" t="str">
        <f>IFERROR(_xlfn.CONCAT(VLOOKUP(O9,[1]CODIGOS!$A$1:$D$750,2,0),"    ",O9,"    ","LINEA  ",N9,)," ")</f>
        <v>TAPA COSTEÑITA RET CBARRAS LG    202732    LINEA  212315</v>
      </c>
      <c r="Q9" s="370"/>
      <c r="R9" s="371"/>
      <c r="S9" s="371"/>
      <c r="T9" s="371"/>
      <c r="U9" s="372"/>
      <c r="V9" s="372"/>
      <c r="W9" s="372">
        <f>427*11000</f>
        <v>4697000</v>
      </c>
      <c r="X9" s="372">
        <f>172*11000</f>
        <v>1892000</v>
      </c>
      <c r="Y9" s="328">
        <f t="shared" si="1"/>
        <v>6589000</v>
      </c>
      <c r="AB9" s="258">
        <v>209630</v>
      </c>
      <c r="AC9" s="286" t="s">
        <v>50</v>
      </c>
      <c r="AD9" s="258">
        <v>211305</v>
      </c>
      <c r="AE9" s="259" t="s">
        <v>51</v>
      </c>
    </row>
    <row r="10" spans="1:31" ht="14.25" customHeight="1" x14ac:dyDescent="0.15">
      <c r="A10" s="186">
        <v>212403</v>
      </c>
      <c r="B10" s="187" t="str">
        <f t="shared" si="2"/>
        <v xml:space="preserve">LAMINA COSTEÑA BACANA 2000 TP D 0.195 </v>
      </c>
      <c r="C10" s="188">
        <v>212407</v>
      </c>
      <c r="D10" s="347">
        <f>SUMIF(DATA!$A:$A,$A10,DATA!$B:$B)-SUMIFS(DATA!$B:$B,DATA!$A:$A,$A10,DATA!$E:$E,$L$1)</f>
        <v>6497</v>
      </c>
      <c r="E10" s="348">
        <f t="shared" si="5"/>
        <v>3.844378698224852</v>
      </c>
      <c r="F10" s="189">
        <f>+L10/667/1690</f>
        <v>0.4293711132599381</v>
      </c>
      <c r="G10" s="190"/>
      <c r="H10" s="518"/>
      <c r="I10" s="519"/>
      <c r="J10" s="520"/>
      <c r="K10" s="191">
        <f t="shared" si="3"/>
        <v>3.415007584964914</v>
      </c>
      <c r="L10" s="257">
        <f t="shared" si="4"/>
        <v>484000</v>
      </c>
      <c r="N10" s="316">
        <f t="shared" si="0"/>
        <v>213995</v>
      </c>
      <c r="O10" s="321">
        <v>213994</v>
      </c>
      <c r="P10" s="334" t="str">
        <f>IFERROR(_xlfn.CONCAT(VLOOKUP(O10,[1]CODIGOS!$A$1:$D$750,2,0),"    ",O10,"    ","LINEA  ",N10,)," ")</f>
        <v>TAPA AGUILA MF 2026    213994    LINEA  213995</v>
      </c>
      <c r="Q10" s="322"/>
      <c r="R10" s="363"/>
      <c r="S10" s="363"/>
      <c r="T10" s="363"/>
      <c r="U10" s="372">
        <f>98*11000</f>
        <v>1078000</v>
      </c>
      <c r="V10" s="364">
        <f>532*11000</f>
        <v>5852000</v>
      </c>
      <c r="W10" s="364">
        <f>111*11000</f>
        <v>1221000</v>
      </c>
      <c r="X10" s="364"/>
      <c r="Y10" s="328">
        <f t="shared" si="1"/>
        <v>8151000</v>
      </c>
      <c r="AB10" s="258">
        <v>212195</v>
      </c>
      <c r="AC10" s="286" t="s">
        <v>52</v>
      </c>
      <c r="AD10" s="258">
        <v>212127</v>
      </c>
      <c r="AE10" s="259" t="s">
        <v>53</v>
      </c>
    </row>
    <row r="11" spans="1:31" ht="14.25" customHeight="1" thickBot="1" x14ac:dyDescent="0.2">
      <c r="A11" s="186">
        <v>211691</v>
      </c>
      <c r="B11" s="187" t="str">
        <f t="shared" si="2"/>
        <v>LAMINA NATIVA SUR TIPO D 0.195</v>
      </c>
      <c r="C11" s="188">
        <v>211452</v>
      </c>
      <c r="D11" s="347">
        <f>SUMIF(DATA!$A:$A,$A11,DATA!$B:$B)-SUMIFS(DATA!$B:$B,DATA!$A:$A,$A11,DATA!$E:$E,$L$1)</f>
        <v>1847</v>
      </c>
      <c r="E11" s="348">
        <f t="shared" si="5"/>
        <v>1.0928994082840238</v>
      </c>
      <c r="F11" s="189">
        <f t="shared" si="6"/>
        <v>0</v>
      </c>
      <c r="G11" s="190"/>
      <c r="H11" s="518"/>
      <c r="I11" s="519"/>
      <c r="J11" s="520"/>
      <c r="K11" s="191">
        <f t="shared" si="3"/>
        <v>1.0928994082840238</v>
      </c>
      <c r="L11" s="257">
        <f t="shared" si="4"/>
        <v>0</v>
      </c>
      <c r="N11" s="316">
        <f t="shared" si="0"/>
        <v>213637</v>
      </c>
      <c r="O11" s="304">
        <v>213635</v>
      </c>
      <c r="P11" s="323" t="str">
        <f>IFERROR(_xlfn.CONCAT(VLOOKUP(O11,[1]CODIGOS!$A$1:$D$750,2,0),"    ",O11,"    ","LINEA  ",N10,)," ")</f>
        <v>TAPA AGUILA LIGHT PROMO ALFA    213635    LINEA  213995</v>
      </c>
      <c r="Q11" s="305"/>
      <c r="R11" s="365">
        <v>979000</v>
      </c>
      <c r="S11" s="365">
        <v>4499000</v>
      </c>
      <c r="T11" s="365">
        <f>440*11000</f>
        <v>4840000</v>
      </c>
      <c r="U11" s="342">
        <f>428*11000</f>
        <v>4708000</v>
      </c>
      <c r="V11" s="342"/>
      <c r="W11" s="342"/>
      <c r="X11" s="342"/>
      <c r="Y11" s="328">
        <f t="shared" si="1"/>
        <v>4708000</v>
      </c>
      <c r="AB11" s="258">
        <v>209629</v>
      </c>
      <c r="AC11" s="286" t="s">
        <v>54</v>
      </c>
      <c r="AD11" s="258">
        <v>212481</v>
      </c>
      <c r="AE11" s="259" t="s">
        <v>55</v>
      </c>
    </row>
    <row r="12" spans="1:31" ht="14.25" customHeight="1" x14ac:dyDescent="0.15">
      <c r="A12" s="186">
        <v>213802</v>
      </c>
      <c r="B12" s="187" t="str">
        <f t="shared" si="2"/>
        <v>LAMINA MCHELOB ULTRA NRB 330 TIPO D0.195</v>
      </c>
      <c r="C12" s="188">
        <v>213801</v>
      </c>
      <c r="D12" s="347">
        <f>SUMIF(DATA!$A:$A,$A12,DATA!$B:$B)-SUMIFS(DATA!$B:$B,DATA!$A:$A,$A12,DATA!$E:$E,$L$1)</f>
        <v>0</v>
      </c>
      <c r="E12" s="348">
        <f t="shared" si="5"/>
        <v>0</v>
      </c>
      <c r="F12" s="189">
        <f t="shared" si="6"/>
        <v>0</v>
      </c>
      <c r="G12" s="190"/>
      <c r="H12" s="518"/>
      <c r="I12" s="519"/>
      <c r="J12" s="520"/>
      <c r="K12" s="191">
        <f t="shared" si="3"/>
        <v>0</v>
      </c>
      <c r="L12" s="257">
        <f t="shared" si="4"/>
        <v>0</v>
      </c>
      <c r="N12" s="316">
        <f t="shared" si="0"/>
        <v>213995</v>
      </c>
      <c r="O12" s="366">
        <v>213994</v>
      </c>
      <c r="P12" s="306" t="str">
        <f>IFERROR(_xlfn.CONCAT(VLOOKUP(O12,[1]CODIGOS!$A$1:$D$750,2,0),"    ",O12,"    ","LINEA  ",N11,)," ")</f>
        <v>TAPA AGUILA MF 2026    213994    LINEA  213637</v>
      </c>
      <c r="Q12" s="303"/>
      <c r="R12" s="355"/>
      <c r="S12" s="354">
        <v>2453000</v>
      </c>
      <c r="T12" s="354">
        <f>(254*11000)+6550</f>
        <v>2800550</v>
      </c>
      <c r="U12" s="343"/>
      <c r="V12" s="343"/>
      <c r="W12" s="343"/>
      <c r="X12" s="343"/>
      <c r="Y12" s="328">
        <f t="shared" si="1"/>
        <v>0</v>
      </c>
      <c r="AB12" s="258">
        <v>209631</v>
      </c>
      <c r="AC12" s="286" t="s">
        <v>56</v>
      </c>
      <c r="AD12" s="258">
        <v>211306</v>
      </c>
      <c r="AE12" s="259" t="s">
        <v>57</v>
      </c>
    </row>
    <row r="13" spans="1:31" ht="14.25" customHeight="1" x14ac:dyDescent="0.15">
      <c r="A13" s="186">
        <v>212066</v>
      </c>
      <c r="B13" s="187" t="str">
        <f t="shared" si="2"/>
        <v>LAMINA CC ROJA TIPO D 0.195 NEW VBI</v>
      </c>
      <c r="C13" s="188">
        <v>212013</v>
      </c>
      <c r="D13" s="347">
        <f>SUMIF(DATA!$A:$A,$A13,DATA!$B:$B)-SUMIFS(DATA!$B:$B,DATA!$A:$A,$A13,DATA!$E:$E,$L$1)</f>
        <v>0</v>
      </c>
      <c r="E13" s="348">
        <f t="shared" si="5"/>
        <v>0</v>
      </c>
      <c r="F13" s="189">
        <f t="shared" si="6"/>
        <v>0</v>
      </c>
      <c r="G13" s="190"/>
      <c r="H13" s="518"/>
      <c r="I13" s="519"/>
      <c r="J13" s="520"/>
      <c r="K13" s="191">
        <f t="shared" si="3"/>
        <v>0</v>
      </c>
      <c r="L13" s="257">
        <f t="shared" si="4"/>
        <v>0</v>
      </c>
      <c r="N13" s="316">
        <f t="shared" si="0"/>
        <v>212019</v>
      </c>
      <c r="O13" s="366">
        <v>212016</v>
      </c>
      <c r="P13" s="306" t="str">
        <f>IFERROR(_xlfn.CONCAT(VLOOKUP(O13,[1]CODIGOS!$A$1:$D$750,2,0),"    ",O13,"    ","LINEA  ",N12,)," ")</f>
        <v>TAPA CLUB COL DRDA R NEW VBI    212016    LINEA  213995</v>
      </c>
      <c r="Q13" s="303"/>
      <c r="R13" s="354"/>
      <c r="S13" s="354"/>
      <c r="T13" s="354">
        <v>121000</v>
      </c>
      <c r="U13" s="343">
        <f>531*11000</f>
        <v>5841000</v>
      </c>
      <c r="V13" s="343">
        <f>250*11000</f>
        <v>2750000</v>
      </c>
      <c r="W13" s="343"/>
      <c r="X13" s="343"/>
      <c r="Y13" s="328">
        <f t="shared" si="1"/>
        <v>8591000</v>
      </c>
      <c r="AB13" s="258">
        <v>212013</v>
      </c>
      <c r="AC13" s="286" t="s">
        <v>58</v>
      </c>
      <c r="AD13" s="258">
        <v>212066</v>
      </c>
      <c r="AE13" s="259" t="s">
        <v>59</v>
      </c>
    </row>
    <row r="14" spans="1:31" ht="14.25" customHeight="1" x14ac:dyDescent="0.15">
      <c r="A14" s="186">
        <v>212068</v>
      </c>
      <c r="B14" s="187" t="str">
        <f t="shared" si="2"/>
        <v>LAMINA CC NEGRA TIPO D 0.195 NEW VBI</v>
      </c>
      <c r="C14" s="188">
        <v>212014</v>
      </c>
      <c r="D14" s="347">
        <f>SUMIF(DATA!$A:$A,$A14,DATA!$B:$B)-SUMIFS(DATA!$B:$B,DATA!$A:$A,$A14,DATA!$E:$E,$L$1)</f>
        <v>0</v>
      </c>
      <c r="E14" s="348">
        <f t="shared" si="5"/>
        <v>0</v>
      </c>
      <c r="F14" s="189">
        <f t="shared" si="6"/>
        <v>0</v>
      </c>
      <c r="G14" s="190"/>
      <c r="H14" s="518"/>
      <c r="I14" s="519"/>
      <c r="J14" s="520"/>
      <c r="K14" s="191">
        <f t="shared" si="3"/>
        <v>0</v>
      </c>
      <c r="L14" s="257">
        <f t="shared" si="4"/>
        <v>0</v>
      </c>
      <c r="N14" s="316">
        <f t="shared" si="0"/>
        <v>213738</v>
      </c>
      <c r="O14" s="366">
        <v>213735</v>
      </c>
      <c r="P14" s="306" t="str">
        <f>IFERROR(_xlfn.CONCAT(VLOOKUP(O14,[1]CODIGOS!$A$1:$D$750,2,0),"    ",O14,"    ","LINEA  ",N13,)," ")</f>
        <v>TAPA RENOVATION POKER    213735    LINEA  212019</v>
      </c>
      <c r="Q14" s="303"/>
      <c r="R14" s="354">
        <v>5962000</v>
      </c>
      <c r="S14" s="354">
        <v>3729000</v>
      </c>
      <c r="T14" s="354"/>
      <c r="U14" s="343"/>
      <c r="V14" s="343">
        <f>279*11000</f>
        <v>3069000</v>
      </c>
      <c r="W14" s="343">
        <f>557*11000</f>
        <v>6127000</v>
      </c>
      <c r="X14" s="343">
        <f>167*11000</f>
        <v>1837000</v>
      </c>
      <c r="Y14" s="328">
        <f t="shared" si="1"/>
        <v>11033000</v>
      </c>
      <c r="AB14" s="258">
        <v>212014</v>
      </c>
      <c r="AC14" s="286" t="s">
        <v>60</v>
      </c>
      <c r="AD14" s="258">
        <v>212068</v>
      </c>
      <c r="AE14" s="259" t="s">
        <v>61</v>
      </c>
    </row>
    <row r="15" spans="1:31" ht="14.25" customHeight="1" thickBot="1" x14ac:dyDescent="0.2">
      <c r="A15" s="186">
        <v>212019</v>
      </c>
      <c r="B15" s="187" t="str">
        <f t="shared" si="2"/>
        <v>LAMINA TIPO D 0.195 CLUB COLOM NEW VBI</v>
      </c>
      <c r="C15" s="188">
        <v>212016</v>
      </c>
      <c r="D15" s="347">
        <f>SUMIF(DATA!$A:$A,$A15,DATA!$B:$B)-SUMIFS(DATA!$B:$B,DATA!$A:$A,$A15,DATA!$E:$E,$L$1)</f>
        <v>1349</v>
      </c>
      <c r="E15" s="348">
        <f t="shared" si="5"/>
        <v>0.79822485207100591</v>
      </c>
      <c r="F15" s="189">
        <f t="shared" si="6"/>
        <v>7.6213372603639007</v>
      </c>
      <c r="G15" s="190"/>
      <c r="H15" s="518"/>
      <c r="I15" s="519"/>
      <c r="J15" s="520"/>
      <c r="K15" s="191">
        <f t="shared" si="3"/>
        <v>-6.8231124082928947</v>
      </c>
      <c r="L15" s="257">
        <f t="shared" si="4"/>
        <v>8591000</v>
      </c>
      <c r="N15" s="316">
        <f t="shared" si="0"/>
        <v>212315</v>
      </c>
      <c r="O15" s="367">
        <v>202732</v>
      </c>
      <c r="P15" s="307" t="str">
        <f>IFERROR(_xlfn.CONCAT(VLOOKUP(O15,[1]CODIGOS!$A$1:$D$750,2,0),"    ",O15,"    ","LINEA  ",N14,)," ")</f>
        <v>TAPA COSTEÑITA RET CBARRAS LG    202732    LINEA  213738</v>
      </c>
      <c r="Q15" s="305"/>
      <c r="R15" s="357"/>
      <c r="S15" s="357"/>
      <c r="T15" s="357">
        <v>3025000</v>
      </c>
      <c r="U15" s="359"/>
      <c r="V15" s="359"/>
      <c r="W15" s="359"/>
      <c r="X15" s="359"/>
      <c r="Y15" s="328">
        <f t="shared" si="1"/>
        <v>0</v>
      </c>
      <c r="AB15" s="258">
        <v>212016</v>
      </c>
      <c r="AC15" s="286" t="s">
        <v>62</v>
      </c>
      <c r="AD15" s="258">
        <v>212019</v>
      </c>
      <c r="AE15" s="259" t="s">
        <v>63</v>
      </c>
    </row>
    <row r="16" spans="1:31" ht="14.25" customHeight="1" x14ac:dyDescent="0.15">
      <c r="A16" s="186">
        <v>212378</v>
      </c>
      <c r="B16" s="187" t="str">
        <f t="shared" si="2"/>
        <v>LAMINA CC OKTOBERFEST TIPOD 0.195</v>
      </c>
      <c r="C16" s="188">
        <v>212265</v>
      </c>
      <c r="D16" s="347">
        <f>SUMIF(DATA!$A:$A,$A16,DATA!$B:$B)-SUMIFS(DATA!$B:$B,DATA!$A:$A,$A16,DATA!$E:$E,$L$1)</f>
        <v>0</v>
      </c>
      <c r="E16" s="348">
        <f t="shared" si="5"/>
        <v>0</v>
      </c>
      <c r="F16" s="189">
        <f t="shared" si="6"/>
        <v>0</v>
      </c>
      <c r="G16" s="190"/>
      <c r="H16" s="535"/>
      <c r="I16" s="519"/>
      <c r="J16" s="520"/>
      <c r="K16" s="191">
        <f t="shared" si="3"/>
        <v>0</v>
      </c>
      <c r="L16" s="257">
        <f t="shared" si="4"/>
        <v>0</v>
      </c>
      <c r="N16" s="316">
        <f t="shared" si="0"/>
        <v>212403</v>
      </c>
      <c r="O16" s="308">
        <v>212407</v>
      </c>
      <c r="P16" s="337" t="str">
        <f>IFERROR(_xlfn.CONCAT(VLOOKUP(O16,[1]CODIGOS!$A$1:$D$750,2,0),"    ",O16,"    ","LINEA  ",N15,)," ")</f>
        <v>TAPA PRY OFF CLOVER 320 CC PRECIO 2000    212407    LINEA  212315</v>
      </c>
      <c r="Q16" s="299"/>
      <c r="R16" s="351">
        <v>286000</v>
      </c>
      <c r="S16" s="351">
        <v>7458000</v>
      </c>
      <c r="T16" s="351">
        <f>651*11000</f>
        <v>7161000</v>
      </c>
      <c r="U16" s="341">
        <v>484000</v>
      </c>
      <c r="V16" s="341"/>
      <c r="W16" s="341"/>
      <c r="X16" s="341"/>
      <c r="Y16" s="328">
        <f t="shared" si="1"/>
        <v>484000</v>
      </c>
      <c r="Z16" s="260"/>
      <c r="AB16" s="258">
        <v>212265</v>
      </c>
      <c r="AC16" s="286" t="s">
        <v>64</v>
      </c>
      <c r="AD16" s="258">
        <v>212378</v>
      </c>
      <c r="AE16" s="259" t="s">
        <v>65</v>
      </c>
    </row>
    <row r="17" spans="1:31" ht="14.25" customHeight="1" x14ac:dyDescent="0.15">
      <c r="A17" s="186">
        <v>211217</v>
      </c>
      <c r="B17" s="187" t="str">
        <f t="shared" si="2"/>
        <v>LAMINA BUDWEISER TW TIPO D 0.195</v>
      </c>
      <c r="C17" s="188">
        <v>212080</v>
      </c>
      <c r="D17" s="347">
        <f>SUMIF(DATA!$A:$A,$A17,DATA!$B:$B)-SUMIFS(DATA!$B:$B,DATA!$A:$A,$A17,DATA!$E:$E,$L$1)</f>
        <v>1728</v>
      </c>
      <c r="E17" s="348">
        <f t="shared" si="5"/>
        <v>1.0224852071005917</v>
      </c>
      <c r="F17" s="189">
        <f t="shared" si="6"/>
        <v>0</v>
      </c>
      <c r="G17" s="190"/>
      <c r="H17" s="518"/>
      <c r="I17" s="519"/>
      <c r="J17" s="520"/>
      <c r="K17" s="191">
        <f t="shared" si="3"/>
        <v>1.0224852071005917</v>
      </c>
      <c r="L17" s="257">
        <f t="shared" si="4"/>
        <v>0</v>
      </c>
      <c r="N17" s="316">
        <f t="shared" si="0"/>
        <v>212127</v>
      </c>
      <c r="O17" s="309">
        <v>212195</v>
      </c>
      <c r="P17" s="338" t="str">
        <f>IFERROR(_xlfn.CONCAT(VLOOKUP(O17,[1]CODIGOS!$A$1:$D$750,2,0),"    ",O17,"    ","LINEA  ",N16,)," ")</f>
        <v>TAPA YO ME CUIDO PERU ST    212195    LINEA  212403</v>
      </c>
      <c r="Q17" s="303"/>
      <c r="R17" s="354"/>
      <c r="S17" s="354"/>
      <c r="T17" s="354"/>
      <c r="U17" s="343">
        <f>1089000+781000+1000000</f>
        <v>2870000</v>
      </c>
      <c r="V17" s="343">
        <f>640*11000</f>
        <v>7040000</v>
      </c>
      <c r="W17" s="343">
        <f>150*11000</f>
        <v>1650000</v>
      </c>
      <c r="X17" s="343"/>
      <c r="Y17" s="328">
        <f t="shared" si="1"/>
        <v>11560000</v>
      </c>
      <c r="Z17" s="260"/>
      <c r="AB17" s="258">
        <v>212080</v>
      </c>
      <c r="AC17" s="286" t="s">
        <v>66</v>
      </c>
      <c r="AD17" s="258">
        <v>211217</v>
      </c>
      <c r="AE17" s="259" t="s">
        <v>67</v>
      </c>
    </row>
    <row r="18" spans="1:31" ht="14.25" customHeight="1" x14ac:dyDescent="0.15">
      <c r="A18" s="186">
        <v>211216</v>
      </c>
      <c r="B18" s="187" t="str">
        <f t="shared" si="2"/>
        <v>LAMINA PONY ROJA CI TIPO D 0.195</v>
      </c>
      <c r="C18" s="188">
        <v>208453</v>
      </c>
      <c r="D18" s="347">
        <f>SUMIF(DATA!$A:$A,$A18,DATA!$B:$B)-SUMIFS(DATA!$B:$B,DATA!$A:$A,$A18,DATA!$E:$E,$L$1)</f>
        <v>0</v>
      </c>
      <c r="E18" s="348">
        <f t="shared" si="5"/>
        <v>0</v>
      </c>
      <c r="F18" s="189">
        <f t="shared" si="6"/>
        <v>0</v>
      </c>
      <c r="G18" s="190"/>
      <c r="H18" s="518"/>
      <c r="I18" s="519"/>
      <c r="J18" s="520"/>
      <c r="K18" s="191">
        <f t="shared" si="3"/>
        <v>0</v>
      </c>
      <c r="L18" s="257">
        <f t="shared" si="4"/>
        <v>0</v>
      </c>
      <c r="N18" s="316">
        <f t="shared" si="0"/>
        <v>211209</v>
      </c>
      <c r="O18" s="309">
        <v>208749</v>
      </c>
      <c r="P18" s="338" t="str">
        <f>IFERROR(_xlfn.CONCAT(VLOOKUP(O18,[1]CODIGOS!$A$1:$D$750,2,0),"    ",O18,"    ","LINEA  ",N17,)," ")</f>
        <v>TAPA CORONA 355 MONOLABIAL    208749    LINEA  212127</v>
      </c>
      <c r="Q18" s="303"/>
      <c r="R18" s="354">
        <v>6345249</v>
      </c>
      <c r="S18" s="354"/>
      <c r="T18" s="354"/>
      <c r="U18" s="343"/>
      <c r="V18" s="343"/>
      <c r="W18" s="343"/>
      <c r="X18" s="343"/>
      <c r="Y18" s="328">
        <f t="shared" si="1"/>
        <v>0</v>
      </c>
      <c r="Z18" s="260"/>
      <c r="AB18" s="258">
        <v>208453</v>
      </c>
      <c r="AC18" s="286" t="s">
        <v>68</v>
      </c>
      <c r="AD18" s="258">
        <v>211216</v>
      </c>
      <c r="AE18" s="259" t="s">
        <v>69</v>
      </c>
    </row>
    <row r="19" spans="1:31" ht="14.25" customHeight="1" thickBot="1" x14ac:dyDescent="0.2">
      <c r="A19" s="186">
        <v>212315</v>
      </c>
      <c r="B19" s="187" t="str">
        <f t="shared" si="2"/>
        <v xml:space="preserve">LAMINA COSTEÑITA CBARRAS LG TIPOD.0.195 </v>
      </c>
      <c r="C19" s="188">
        <v>202732</v>
      </c>
      <c r="D19" s="347">
        <f>SUMIF(DATA!$A:$A,$A19,DATA!$B:$B)-SUMIFS(DATA!$B:$B,DATA!$A:$A,$A19,DATA!$E:$E,$L$1)</f>
        <v>16722</v>
      </c>
      <c r="E19" s="348">
        <f t="shared" si="5"/>
        <v>9.8946745562130172</v>
      </c>
      <c r="F19" s="189">
        <f t="shared" si="6"/>
        <v>9.2119620663041264</v>
      </c>
      <c r="G19" s="190">
        <v>9</v>
      </c>
      <c r="H19" s="518"/>
      <c r="I19" s="519"/>
      <c r="J19" s="520"/>
      <c r="K19" s="191">
        <f t="shared" si="3"/>
        <v>9.6827124899088926</v>
      </c>
      <c r="L19" s="257">
        <f t="shared" si="4"/>
        <v>10384000</v>
      </c>
      <c r="N19" s="316">
        <f t="shared" si="0"/>
        <v>213995</v>
      </c>
      <c r="O19" s="310">
        <v>213994</v>
      </c>
      <c r="P19" s="339" t="str">
        <f>IFERROR(_xlfn.CONCAT(VLOOKUP(O19,[1]CODIGOS!$A$1:$D$750,2,0),"    ",O19,"    ","LINEA  ",N18,)," ")</f>
        <v>TAPA AGUILA MF 2026    213994    LINEA  211209</v>
      </c>
      <c r="Q19" s="305"/>
      <c r="R19" s="368"/>
      <c r="S19" s="368"/>
      <c r="T19" s="368"/>
      <c r="U19" s="369"/>
      <c r="V19" s="369"/>
      <c r="W19" s="369">
        <f>500*11000</f>
        <v>5500000</v>
      </c>
      <c r="X19" s="369">
        <f>241*11000</f>
        <v>2651000</v>
      </c>
      <c r="Y19" s="328">
        <f t="shared" si="1"/>
        <v>8151000</v>
      </c>
      <c r="Z19" s="260"/>
      <c r="AB19" s="258">
        <v>202732</v>
      </c>
      <c r="AC19" s="286" t="s">
        <v>70</v>
      </c>
      <c r="AD19" s="258">
        <v>212315</v>
      </c>
      <c r="AE19" s="259" t="s">
        <v>71</v>
      </c>
    </row>
    <row r="20" spans="1:31" ht="14.25" customHeight="1" x14ac:dyDescent="0.15">
      <c r="A20" s="186">
        <v>212604</v>
      </c>
      <c r="B20" s="187" t="str">
        <f t="shared" si="2"/>
        <v>LAMINA COSTEÑA ROJA TIPO D0.195</v>
      </c>
      <c r="C20" s="188">
        <v>212601</v>
      </c>
      <c r="D20" s="347">
        <f>SUMIF(DATA!$A:$A,$A20,DATA!$B:$B)-SUMIFS(DATA!$B:$B,DATA!$A:$A,$A20,DATA!$E:$E,$L$1)</f>
        <v>2413</v>
      </c>
      <c r="E20" s="348">
        <f t="shared" si="5"/>
        <v>1.4278106508875739</v>
      </c>
      <c r="F20" s="189">
        <f t="shared" si="6"/>
        <v>0</v>
      </c>
      <c r="G20" s="190"/>
      <c r="H20" s="518"/>
      <c r="I20" s="519"/>
      <c r="J20" s="520"/>
      <c r="K20" s="191">
        <f t="shared" si="3"/>
        <v>1.4278106508875739</v>
      </c>
      <c r="L20" s="257">
        <f t="shared" si="4"/>
        <v>0</v>
      </c>
      <c r="N20" s="316"/>
      <c r="O20" s="311"/>
      <c r="P20" s="312"/>
      <c r="Q20" s="313">
        <f>SUM(Q3:Q19)</f>
        <v>0</v>
      </c>
      <c r="R20" s="314">
        <f t="shared" ref="R20:X20" si="7">SUBTOTAL(9,R3:R19)</f>
        <v>24638249</v>
      </c>
      <c r="S20" s="314">
        <f t="shared" si="7"/>
        <v>24530000</v>
      </c>
      <c r="T20" s="314">
        <f t="shared" si="7"/>
        <v>24192981</v>
      </c>
      <c r="U20" s="314">
        <f t="shared" si="7"/>
        <v>20646000</v>
      </c>
      <c r="V20" s="314">
        <f t="shared" si="7"/>
        <v>24530000</v>
      </c>
      <c r="W20" s="314">
        <f t="shared" si="7"/>
        <v>24904000</v>
      </c>
      <c r="X20" s="314">
        <f t="shared" si="7"/>
        <v>8305000</v>
      </c>
      <c r="Y20" s="340">
        <f>+R20+S20+T20+U20+V20+W20+X20</f>
        <v>151746230</v>
      </c>
      <c r="Z20" s="260"/>
      <c r="AB20" s="258">
        <v>212601</v>
      </c>
      <c r="AC20" s="286" t="s">
        <v>72</v>
      </c>
      <c r="AD20" s="258">
        <v>212604</v>
      </c>
      <c r="AE20" s="259" t="s">
        <v>73</v>
      </c>
    </row>
    <row r="21" spans="1:31" ht="14.25" customHeight="1" x14ac:dyDescent="0.15">
      <c r="A21" s="186">
        <v>211209</v>
      </c>
      <c r="B21" s="187" t="str">
        <f t="shared" si="2"/>
        <v>LAMINA CORONA MARTE TIPO D 0.195</v>
      </c>
      <c r="C21" s="188">
        <v>208479</v>
      </c>
      <c r="D21" s="347">
        <f>SUMIF(DATA!$A:$A,$A21,DATA!$B:$B)-SUMIFS(DATA!$B:$B,DATA!$A:$A,$A21,DATA!$E:$E,$L$1)</f>
        <v>3061</v>
      </c>
      <c r="E21" s="348">
        <f t="shared" si="5"/>
        <v>1.8112426035502958</v>
      </c>
      <c r="F21" s="189">
        <f t="shared" si="6"/>
        <v>0</v>
      </c>
      <c r="G21" s="190"/>
      <c r="H21" s="518"/>
      <c r="I21" s="519"/>
      <c r="J21" s="520"/>
      <c r="K21" s="191">
        <f>(E21+G21)-F21</f>
        <v>1.8112426035502958</v>
      </c>
      <c r="L21" s="257">
        <f t="shared" si="4"/>
        <v>0</v>
      </c>
      <c r="N21" s="290" t="str">
        <f t="shared" ref="N21:N27" si="8">IFERROR(VLOOKUP(O23,$AB$2:$AE$80,3,0)," ")</f>
        <v xml:space="preserve"> </v>
      </c>
      <c r="P21" s="260"/>
      <c r="Q21" s="260"/>
      <c r="R21" s="260"/>
      <c r="S21" s="260"/>
      <c r="T21" s="260"/>
      <c r="U21" s="260"/>
      <c r="V21" s="260"/>
      <c r="W21" s="260"/>
      <c r="X21" s="260"/>
      <c r="Y21" s="260"/>
      <c r="Z21" s="260"/>
      <c r="AB21" s="258">
        <v>208749</v>
      </c>
      <c r="AC21" s="286" t="s">
        <v>74</v>
      </c>
      <c r="AD21" s="258">
        <v>211209</v>
      </c>
      <c r="AE21" s="259" t="s">
        <v>75</v>
      </c>
    </row>
    <row r="22" spans="1:31" ht="14.25" customHeight="1" x14ac:dyDescent="0.15">
      <c r="A22" s="186">
        <v>212321</v>
      </c>
      <c r="B22" s="187" t="str">
        <f t="shared" si="2"/>
        <v>LAMINA BBC LG TIPOD.0.195</v>
      </c>
      <c r="C22" s="188">
        <v>206051</v>
      </c>
      <c r="D22" s="347">
        <f>SUMIF(DATA!$A:$A,$A22,DATA!$B:$B)-SUMIFS(DATA!$B:$B,DATA!$A:$A,$A22,DATA!$E:$E,$L$1)</f>
        <v>0</v>
      </c>
      <c r="E22" s="348">
        <f t="shared" si="5"/>
        <v>0</v>
      </c>
      <c r="F22" s="189">
        <f t="shared" si="6"/>
        <v>0</v>
      </c>
      <c r="G22" s="190"/>
      <c r="H22" s="518"/>
      <c r="I22" s="519"/>
      <c r="J22" s="520"/>
      <c r="K22" s="191">
        <f t="shared" si="3"/>
        <v>0</v>
      </c>
      <c r="L22" s="257">
        <f t="shared" si="4"/>
        <v>0</v>
      </c>
      <c r="N22" s="185" t="str">
        <f t="shared" si="8"/>
        <v xml:space="preserve"> </v>
      </c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  <c r="AB22" s="258">
        <v>206051</v>
      </c>
      <c r="AC22" s="286" t="s">
        <v>77</v>
      </c>
      <c r="AD22" s="258">
        <v>212321</v>
      </c>
      <c r="AE22" s="259" t="s">
        <v>78</v>
      </c>
    </row>
    <row r="23" spans="1:31" ht="13.5" customHeight="1" x14ac:dyDescent="0.15">
      <c r="A23" s="186">
        <v>212694</v>
      </c>
      <c r="B23" s="187" t="str">
        <f t="shared" si="2"/>
        <v>LAMINA CLUB COLOMBIA TRIGO TIPO D0.195</v>
      </c>
      <c r="C23" s="188">
        <v>212703</v>
      </c>
      <c r="D23" s="347">
        <f>SUMIF(DATA!$A:$A,$A23,DATA!$B:$B)-SUMIFS(DATA!$B:$B,DATA!$A:$A,$A23,DATA!$E:$E,$L$1)</f>
        <v>0</v>
      </c>
      <c r="E23" s="348">
        <f t="shared" si="5"/>
        <v>0</v>
      </c>
      <c r="F23" s="189">
        <f t="shared" si="6"/>
        <v>0</v>
      </c>
      <c r="G23" s="190"/>
      <c r="H23" s="518"/>
      <c r="I23" s="519"/>
      <c r="J23" s="520"/>
      <c r="K23" s="191">
        <f t="shared" si="3"/>
        <v>0</v>
      </c>
      <c r="L23" s="257">
        <f t="shared" si="4"/>
        <v>0</v>
      </c>
      <c r="N23" s="260" t="str">
        <f t="shared" si="8"/>
        <v xml:space="preserve"> </v>
      </c>
      <c r="P23" s="260"/>
      <c r="Q23" s="260"/>
      <c r="R23" s="260"/>
      <c r="S23" s="260"/>
      <c r="T23" s="260"/>
      <c r="U23" s="318" t="s">
        <v>76</v>
      </c>
      <c r="V23" s="260"/>
      <c r="W23" s="260"/>
      <c r="X23" s="260"/>
      <c r="Y23" s="260"/>
      <c r="AB23" s="258">
        <v>212738</v>
      </c>
      <c r="AC23" s="286" t="s">
        <v>79</v>
      </c>
      <c r="AD23" s="258">
        <v>212751</v>
      </c>
      <c r="AE23" s="259" t="s">
        <v>80</v>
      </c>
    </row>
    <row r="24" spans="1:31" ht="13.5" customHeight="1" x14ac:dyDescent="0.15">
      <c r="A24" s="186">
        <v>212787</v>
      </c>
      <c r="B24" s="187" t="str">
        <f t="shared" si="2"/>
        <v>LAMINA CORONA CERO TIPO D 0,195</v>
      </c>
      <c r="C24" s="188">
        <v>212812</v>
      </c>
      <c r="D24" s="347">
        <f>SUMIF(DATA!$A:$A,$A24,DATA!$B:$B)-SUMIFS(DATA!$B:$B,DATA!$A:$A,$A24,DATA!$E:$E,$L$1)</f>
        <v>1629</v>
      </c>
      <c r="E24" s="348">
        <f t="shared" si="5"/>
        <v>0.96390532544378693</v>
      </c>
      <c r="F24" s="189">
        <f t="shared" si="6"/>
        <v>0</v>
      </c>
      <c r="G24" s="190"/>
      <c r="H24" s="518"/>
      <c r="I24" s="519"/>
      <c r="J24" s="520"/>
      <c r="K24" s="191">
        <f t="shared" si="3"/>
        <v>0.96390532544378693</v>
      </c>
      <c r="L24" s="257">
        <f t="shared" si="4"/>
        <v>0</v>
      </c>
      <c r="N24" s="260" t="str">
        <f t="shared" si="8"/>
        <v xml:space="preserve"> </v>
      </c>
      <c r="P24" s="260"/>
      <c r="Q24" s="260"/>
      <c r="R24" s="260"/>
      <c r="S24" s="260"/>
      <c r="T24" s="260"/>
      <c r="U24" s="260"/>
      <c r="V24" s="260"/>
      <c r="W24" s="260"/>
      <c r="X24" s="260"/>
      <c r="Y24" s="260"/>
      <c r="AB24" s="258">
        <v>212814</v>
      </c>
      <c r="AC24" s="286" t="s">
        <v>81</v>
      </c>
      <c r="AD24" s="258">
        <v>212797</v>
      </c>
      <c r="AE24" s="259" t="s">
        <v>82</v>
      </c>
    </row>
    <row r="25" spans="1:31" ht="13.5" customHeight="1" x14ac:dyDescent="0.15">
      <c r="A25" s="186">
        <v>213343</v>
      </c>
      <c r="B25" s="187" t="str">
        <f t="shared" si="2"/>
        <v>LAMINA AGUILA EL CARIBE  D 0.195</v>
      </c>
      <c r="C25" s="188">
        <v>213340</v>
      </c>
      <c r="D25" s="347">
        <f>SUMIF(DATA!$A:$A,$A25,DATA!$B:$B)-SUMIFS(DATA!$B:$B,DATA!$A:$A,$A25,DATA!$E:$E,$L$1)</f>
        <v>629</v>
      </c>
      <c r="E25" s="348">
        <f t="shared" si="5"/>
        <v>0.37218934911242602</v>
      </c>
      <c r="F25" s="189">
        <f t="shared" si="6"/>
        <v>0</v>
      </c>
      <c r="G25" s="190"/>
      <c r="H25" s="518"/>
      <c r="I25" s="519"/>
      <c r="J25" s="520"/>
      <c r="K25" s="191">
        <f t="shared" si="3"/>
        <v>0.37218934911242602</v>
      </c>
      <c r="L25" s="257">
        <f t="shared" si="4"/>
        <v>0</v>
      </c>
      <c r="N25" s="185" t="str">
        <f t="shared" si="8"/>
        <v xml:space="preserve"> </v>
      </c>
      <c r="AB25" s="258">
        <v>212739</v>
      </c>
      <c r="AC25" s="286" t="s">
        <v>84</v>
      </c>
      <c r="AD25" s="258">
        <v>212749</v>
      </c>
      <c r="AE25" s="259" t="s">
        <v>85</v>
      </c>
    </row>
    <row r="26" spans="1:31" ht="13.5" customHeight="1" x14ac:dyDescent="0.15">
      <c r="A26" s="186">
        <v>213354</v>
      </c>
      <c r="B26" s="187" t="str">
        <f t="shared" si="2"/>
        <v>LAMINA REDDS CITRUS  UV 0.195</v>
      </c>
      <c r="C26" s="188">
        <v>213328</v>
      </c>
      <c r="D26" s="347">
        <f>SUMIF(DATA!$A:$A,$A26,DATA!$B:$B)-SUMIFS(DATA!$B:$B,DATA!$A:$A,$A26,DATA!$E:$E,$L$1)</f>
        <v>0</v>
      </c>
      <c r="E26" s="348">
        <f t="shared" si="5"/>
        <v>0</v>
      </c>
      <c r="F26" s="189">
        <f t="shared" si="6"/>
        <v>0</v>
      </c>
      <c r="G26" s="190"/>
      <c r="H26" s="518"/>
      <c r="I26" s="519"/>
      <c r="J26" s="520"/>
      <c r="K26" s="191">
        <f t="shared" si="3"/>
        <v>0</v>
      </c>
      <c r="L26" s="257">
        <f t="shared" si="4"/>
        <v>0</v>
      </c>
      <c r="N26" s="185" t="str">
        <f t="shared" si="8"/>
        <v xml:space="preserve"> </v>
      </c>
      <c r="Q26" s="185" t="s">
        <v>83</v>
      </c>
      <c r="R26" s="185">
        <v>3800000</v>
      </c>
      <c r="T26" s="319"/>
      <c r="AB26" s="258">
        <v>212703</v>
      </c>
      <c r="AC26" s="286" t="s">
        <v>87</v>
      </c>
      <c r="AD26" s="258">
        <v>212694</v>
      </c>
      <c r="AE26" s="259" t="s">
        <v>88</v>
      </c>
    </row>
    <row r="27" spans="1:31" ht="13.5" customHeight="1" x14ac:dyDescent="0.15">
      <c r="A27" s="186">
        <v>213415</v>
      </c>
      <c r="B27" s="187" t="str">
        <f t="shared" si="2"/>
        <v>LAMINA AGUILA GOLES UV TIPO D0.195</v>
      </c>
      <c r="C27" s="188">
        <v>213413</v>
      </c>
      <c r="D27" s="347">
        <f>SUMIF(DATA!$A:$A,$A27,DATA!$B:$B)-SUMIFS(DATA!$B:$B,DATA!$A:$A,$A27,DATA!$E:$E,$L$1)</f>
        <v>0</v>
      </c>
      <c r="E27" s="348">
        <f t="shared" si="5"/>
        <v>0</v>
      </c>
      <c r="F27" s="189">
        <f t="shared" si="6"/>
        <v>0</v>
      </c>
      <c r="G27" s="190"/>
      <c r="H27" s="518"/>
      <c r="I27" s="519"/>
      <c r="J27" s="520"/>
      <c r="K27" s="191">
        <f t="shared" si="3"/>
        <v>0</v>
      </c>
      <c r="L27" s="257">
        <f t="shared" si="4"/>
        <v>0</v>
      </c>
      <c r="N27" s="185" t="str">
        <f t="shared" si="8"/>
        <v xml:space="preserve"> </v>
      </c>
      <c r="O27" s="185"/>
      <c r="Q27" s="185" t="s">
        <v>86</v>
      </c>
      <c r="R27" s="185">
        <v>23900000</v>
      </c>
      <c r="AB27" s="258">
        <v>212916</v>
      </c>
      <c r="AC27" s="286" t="s">
        <v>89</v>
      </c>
      <c r="AD27" s="258">
        <v>212917</v>
      </c>
      <c r="AE27" s="259" t="s">
        <v>90</v>
      </c>
    </row>
    <row r="28" spans="1:31" ht="13.5" customHeight="1" x14ac:dyDescent="0.15">
      <c r="A28" s="186">
        <v>213438</v>
      </c>
      <c r="B28" s="187" t="str">
        <f t="shared" si="2"/>
        <v>LAMINA COLA &amp; POLA UV TIPO D0.195</v>
      </c>
      <c r="C28" s="188">
        <v>213420</v>
      </c>
      <c r="D28" s="347">
        <f>SUMIF(DATA!$A:$A,$A28,DATA!$B:$B)-SUMIFS(DATA!$B:$B,DATA!$A:$A,$A28,DATA!$E:$E,$L$1)</f>
        <v>0</v>
      </c>
      <c r="E28" s="348">
        <f t="shared" si="5"/>
        <v>0</v>
      </c>
      <c r="F28" s="189">
        <f t="shared" si="6"/>
        <v>0</v>
      </c>
      <c r="G28" s="190"/>
      <c r="H28" s="518"/>
      <c r="I28" s="519"/>
      <c r="J28" s="520"/>
      <c r="K28" s="191">
        <f t="shared" si="3"/>
        <v>0</v>
      </c>
      <c r="L28" s="257">
        <f t="shared" si="4"/>
        <v>0</v>
      </c>
      <c r="N28" s="185"/>
      <c r="O28" s="185"/>
      <c r="AB28" s="258">
        <v>213208</v>
      </c>
      <c r="AC28" s="286" t="s">
        <v>91</v>
      </c>
      <c r="AD28" s="258">
        <v>213210</v>
      </c>
      <c r="AE28" s="259" t="s">
        <v>92</v>
      </c>
    </row>
    <row r="29" spans="1:31" ht="13.5" customHeight="1" x14ac:dyDescent="0.15">
      <c r="A29" s="186">
        <v>213352</v>
      </c>
      <c r="B29" s="187" t="str">
        <f t="shared" si="2"/>
        <v>LAMINA NUTRI MALTA D 0.195</v>
      </c>
      <c r="C29" s="188">
        <v>213341</v>
      </c>
      <c r="D29" s="347">
        <f>SUMIF(DATA!$A:$A,$A29,DATA!$B:$B)-SUMIFS(DATA!$B:$B,DATA!$A:$A,$A29,DATA!$E:$E,$L$1)</f>
        <v>1519</v>
      </c>
      <c r="E29" s="348">
        <f t="shared" si="5"/>
        <v>0.89881656804733723</v>
      </c>
      <c r="F29" s="189">
        <f t="shared" si="6"/>
        <v>0</v>
      </c>
      <c r="G29" s="190"/>
      <c r="H29" s="518"/>
      <c r="I29" s="519"/>
      <c r="J29" s="520"/>
      <c r="K29" s="191">
        <f t="shared" si="3"/>
        <v>0.89881656804733723</v>
      </c>
      <c r="L29" s="257">
        <f t="shared" si="4"/>
        <v>0</v>
      </c>
      <c r="N29" s="326"/>
      <c r="O29" s="185"/>
      <c r="R29" s="319"/>
      <c r="AB29" s="258">
        <v>213208</v>
      </c>
      <c r="AC29" s="286" t="s">
        <v>91</v>
      </c>
      <c r="AD29" s="258">
        <v>213209</v>
      </c>
      <c r="AE29" s="259" t="s">
        <v>93</v>
      </c>
    </row>
    <row r="30" spans="1:31" ht="13.5" customHeight="1" x14ac:dyDescent="0.15">
      <c r="A30" s="186">
        <v>213324</v>
      </c>
      <c r="B30" s="187" t="str">
        <f t="shared" si="2"/>
        <v>LAMINA PONY MALTA GO 0.195</v>
      </c>
      <c r="C30" s="188">
        <v>213321</v>
      </c>
      <c r="D30" s="347">
        <f>SUMIF(DATA!$A:$A,$A30,DATA!$B:$B)-SUMIFS(DATA!$B:$B,DATA!$A:$A,$A30,DATA!$E:$E,$L$1)</f>
        <v>0</v>
      </c>
      <c r="E30" s="348">
        <f t="shared" si="5"/>
        <v>0</v>
      </c>
      <c r="F30" s="189">
        <f t="shared" si="6"/>
        <v>0</v>
      </c>
      <c r="G30" s="190"/>
      <c r="H30" s="518"/>
      <c r="I30" s="519"/>
      <c r="J30" s="520"/>
      <c r="K30" s="191">
        <f t="shared" si="3"/>
        <v>0</v>
      </c>
      <c r="L30" s="257">
        <f t="shared" si="4"/>
        <v>0</v>
      </c>
      <c r="N30" s="326"/>
      <c r="O30" s="185"/>
      <c r="AB30" s="258">
        <v>213146</v>
      </c>
      <c r="AC30" s="286" t="s">
        <v>95</v>
      </c>
      <c r="AD30" s="258">
        <v>213147</v>
      </c>
      <c r="AE30" s="259" t="s">
        <v>96</v>
      </c>
    </row>
    <row r="31" spans="1:31" ht="14.25" customHeight="1" x14ac:dyDescent="0.15">
      <c r="A31" s="186">
        <v>213482</v>
      </c>
      <c r="B31" s="187" t="str">
        <f t="shared" si="2"/>
        <v>LAMINA PILSEN FRASES TIPO D0.195</v>
      </c>
      <c r="C31" s="188">
        <v>213481</v>
      </c>
      <c r="D31" s="347">
        <f>SUMIF(DATA!$A:$A,$A31,DATA!$B:$B)-SUMIFS(DATA!$B:$B,DATA!$A:$A,$A31,DATA!$E:$E,$L$1)</f>
        <v>0</v>
      </c>
      <c r="E31" s="348">
        <f t="shared" si="5"/>
        <v>0</v>
      </c>
      <c r="F31" s="189">
        <f t="shared" si="6"/>
        <v>0</v>
      </c>
      <c r="G31" s="190"/>
      <c r="H31" s="518"/>
      <c r="I31" s="519"/>
      <c r="J31" s="520"/>
      <c r="K31" s="191">
        <f t="shared" si="3"/>
        <v>0</v>
      </c>
      <c r="L31" s="257">
        <f t="shared" si="4"/>
        <v>0</v>
      </c>
      <c r="N31" s="326"/>
      <c r="O31" s="185"/>
      <c r="Q31" s="185" t="s">
        <v>94</v>
      </c>
      <c r="AB31" s="258">
        <v>212812</v>
      </c>
      <c r="AC31" s="286" t="s">
        <v>98</v>
      </c>
      <c r="AD31" s="258">
        <v>212787</v>
      </c>
      <c r="AE31" s="259" t="s">
        <v>99</v>
      </c>
    </row>
    <row r="32" spans="1:31" ht="13.5" customHeight="1" x14ac:dyDescent="0.15">
      <c r="A32" s="186">
        <v>213325</v>
      </c>
      <c r="B32" s="187" t="str">
        <f t="shared" si="2"/>
        <v>LAMINA PONY MALTA ANTOJOS 0.195</v>
      </c>
      <c r="C32" s="188">
        <v>213322</v>
      </c>
      <c r="D32" s="347">
        <f>SUMIF(DATA!$A:$A,$A32,DATA!$B:$B)-SUMIFS(DATA!$B:$B,DATA!$A:$A,$A32,DATA!$E:$E,$L$1)</f>
        <v>0</v>
      </c>
      <c r="E32" s="348">
        <f t="shared" si="5"/>
        <v>0</v>
      </c>
      <c r="F32" s="189">
        <f t="shared" si="6"/>
        <v>0</v>
      </c>
      <c r="G32" s="190"/>
      <c r="H32" s="518"/>
      <c r="I32" s="519"/>
      <c r="J32" s="520"/>
      <c r="K32" s="191">
        <f t="shared" si="3"/>
        <v>0</v>
      </c>
      <c r="L32" s="257">
        <f t="shared" si="4"/>
        <v>0</v>
      </c>
      <c r="N32" s="185"/>
      <c r="O32" s="185"/>
      <c r="Q32" s="185" t="s">
        <v>97</v>
      </c>
      <c r="AB32" s="258">
        <v>213229</v>
      </c>
      <c r="AC32" s="286" t="s">
        <v>100</v>
      </c>
      <c r="AD32" s="258">
        <v>213237</v>
      </c>
      <c r="AE32" s="259" t="s">
        <v>101</v>
      </c>
    </row>
    <row r="33" spans="1:31" ht="13.5" customHeight="1" x14ac:dyDescent="0.15">
      <c r="A33" s="186">
        <v>213637</v>
      </c>
      <c r="B33" s="187" t="str">
        <f t="shared" si="2"/>
        <v>LAMINA AGUILA LGT PROMO ALFA TIP D 0.195</v>
      </c>
      <c r="C33" s="188">
        <v>213635</v>
      </c>
      <c r="D33" s="347">
        <f>SUMIF(DATA!$A:$A,$A33,DATA!$B:$B)-SUMIFS(DATA!$B:$B,DATA!$A:$A,$A33,DATA!$E:$E,$L$1)</f>
        <v>25460</v>
      </c>
      <c r="E33" s="348">
        <f t="shared" si="5"/>
        <v>15.065088757396449</v>
      </c>
      <c r="F33" s="189">
        <f t="shared" si="6"/>
        <v>4.1766099198921252</v>
      </c>
      <c r="G33" s="190"/>
      <c r="H33" s="518"/>
      <c r="I33" s="519"/>
      <c r="J33" s="520"/>
      <c r="K33" s="191">
        <f>(E33+G33)-F33</f>
        <v>10.888478837504323</v>
      </c>
      <c r="L33" s="257">
        <f t="shared" si="4"/>
        <v>4708000</v>
      </c>
      <c r="N33" s="185"/>
      <c r="O33" s="185"/>
      <c r="AB33" s="258">
        <v>213340</v>
      </c>
      <c r="AC33" s="286" t="s">
        <v>102</v>
      </c>
      <c r="AD33" s="258">
        <v>213356</v>
      </c>
      <c r="AE33" s="259" t="s">
        <v>103</v>
      </c>
    </row>
    <row r="34" spans="1:31" ht="13.5" customHeight="1" x14ac:dyDescent="0.15">
      <c r="A34" s="186">
        <v>213738</v>
      </c>
      <c r="B34" s="187" t="str">
        <f t="shared" si="2"/>
        <v>LAMINA POKER RENOVACION</v>
      </c>
      <c r="C34" s="188">
        <v>213735</v>
      </c>
      <c r="D34" s="347">
        <f>SUMIF(DATA!$A:$A,$A34,DATA!$B:$B)-SUMIFS(DATA!$B:$B,DATA!$A:$A,$A34,DATA!$E:$E,$L$1)-2938</f>
        <v>7188</v>
      </c>
      <c r="E34" s="348">
        <f t="shared" si="5"/>
        <v>4.2532544378698223</v>
      </c>
      <c r="F34" s="189">
        <f t="shared" si="6"/>
        <v>9.7877096954481342</v>
      </c>
      <c r="G34" s="190">
        <v>20</v>
      </c>
      <c r="H34" s="518"/>
      <c r="I34" s="519"/>
      <c r="J34" s="520"/>
      <c r="K34" s="191">
        <f t="shared" si="3"/>
        <v>14.465544742421686</v>
      </c>
      <c r="L34" s="257">
        <f t="shared" si="4"/>
        <v>11033000</v>
      </c>
      <c r="N34" s="185"/>
      <c r="O34" s="185"/>
      <c r="AB34" s="258">
        <v>213340</v>
      </c>
      <c r="AC34" s="286" t="s">
        <v>102</v>
      </c>
      <c r="AD34" s="258">
        <v>213343</v>
      </c>
      <c r="AE34" s="259" t="s">
        <v>104</v>
      </c>
    </row>
    <row r="35" spans="1:31" ht="13.5" customHeight="1" x14ac:dyDescent="0.15">
      <c r="A35" s="186">
        <v>213732</v>
      </c>
      <c r="B35" s="187" t="str">
        <f t="shared" si="2"/>
        <v>LAMINA COSTEÑA BACANA CENTRO TIPO D 0.195</v>
      </c>
      <c r="C35" s="188">
        <v>213731</v>
      </c>
      <c r="D35" s="347">
        <f>SUMIF(DATA!$A:$A,$A35,DATA!$B:$B)-SUMIFS(DATA!$B:$B,DATA!$A:$A,$A35,DATA!$E:$E,$L$1)</f>
        <v>743</v>
      </c>
      <c r="E35" s="348">
        <f t="shared" si="5"/>
        <v>0.4396449704142012</v>
      </c>
      <c r="F35" s="189">
        <f t="shared" si="6"/>
        <v>0</v>
      </c>
      <c r="G35" s="190"/>
      <c r="H35" s="518"/>
      <c r="I35" s="519"/>
      <c r="J35" s="520"/>
      <c r="K35" s="191">
        <f t="shared" si="3"/>
        <v>0.4396449704142012</v>
      </c>
      <c r="L35" s="257">
        <f t="shared" si="4"/>
        <v>0</v>
      </c>
      <c r="N35" s="185"/>
      <c r="O35" s="185"/>
      <c r="AB35" s="258">
        <v>213328</v>
      </c>
      <c r="AC35" s="286" t="s">
        <v>105</v>
      </c>
      <c r="AD35" s="258">
        <v>213354</v>
      </c>
      <c r="AE35" s="259" t="s">
        <v>106</v>
      </c>
    </row>
    <row r="36" spans="1:31" ht="13.5" customHeight="1" x14ac:dyDescent="0.15">
      <c r="A36" s="186">
        <v>213868</v>
      </c>
      <c r="B36" s="187" t="str">
        <f t="shared" si="2"/>
        <v>LAMINA TAPA TEST CONV TIPO D0.195</v>
      </c>
      <c r="C36" s="188">
        <v>213867</v>
      </c>
      <c r="D36" s="347">
        <f>SUMIF(DATA!$A:$A,$A36,DATA!$B:$B)-SUMIFS(DATA!$B:$B,DATA!$A:$A,$A36,DATA!$E:$E,$L$1)</f>
        <v>400</v>
      </c>
      <c r="E36" s="348">
        <f t="shared" si="5"/>
        <v>0.23668639053254437</v>
      </c>
      <c r="F36" s="189">
        <f t="shared" si="6"/>
        <v>2.829945973758683</v>
      </c>
      <c r="G36" s="190"/>
      <c r="H36" s="518"/>
      <c r="I36" s="519"/>
      <c r="J36" s="520"/>
      <c r="K36" s="191">
        <f>(E36+G36)-F36</f>
        <v>-2.5932595832261387</v>
      </c>
      <c r="L36" s="257">
        <f t="shared" si="4"/>
        <v>3190000</v>
      </c>
      <c r="N36" s="185"/>
      <c r="O36" s="185"/>
      <c r="AB36" s="258">
        <v>213413</v>
      </c>
      <c r="AC36" s="286" t="s">
        <v>107</v>
      </c>
      <c r="AD36" s="258">
        <v>213415</v>
      </c>
      <c r="AE36" s="259" t="s">
        <v>108</v>
      </c>
    </row>
    <row r="37" spans="1:31" ht="13.5" customHeight="1" x14ac:dyDescent="0.15">
      <c r="A37" s="186">
        <v>213869</v>
      </c>
      <c r="B37" s="187" t="str">
        <f t="shared" si="2"/>
        <v>LAMINA TAPA TEST UV TIPO D0.195</v>
      </c>
      <c r="C37" s="188">
        <v>213867</v>
      </c>
      <c r="D37" s="347">
        <f>SUMIF(DATA!$A:$A,$A37,DATA!$B:$B)-SUMIFS(DATA!$B:$B,DATA!$A:$A,$A37,DATA!$E:$E,$L$1)</f>
        <v>0</v>
      </c>
      <c r="E37" s="348">
        <f t="shared" si="5"/>
        <v>0</v>
      </c>
      <c r="F37" s="189">
        <f t="shared" si="6"/>
        <v>0</v>
      </c>
      <c r="G37" s="190"/>
      <c r="H37" s="518"/>
      <c r="I37" s="519"/>
      <c r="J37" s="520"/>
      <c r="K37" s="191">
        <f t="shared" si="3"/>
        <v>0</v>
      </c>
      <c r="L37" s="257">
        <f t="shared" si="4"/>
        <v>0</v>
      </c>
      <c r="N37" s="185"/>
      <c r="O37" s="185"/>
      <c r="AB37" s="258">
        <v>213304</v>
      </c>
      <c r="AC37" s="286" t="s">
        <v>109</v>
      </c>
      <c r="AD37" s="258">
        <v>213246</v>
      </c>
      <c r="AE37" s="259" t="s">
        <v>110</v>
      </c>
    </row>
    <row r="38" spans="1:31" ht="13.5" customHeight="1" x14ac:dyDescent="0.15">
      <c r="A38" s="186">
        <v>211305</v>
      </c>
      <c r="B38" s="187" t="str">
        <f t="shared" si="2"/>
        <v xml:space="preserve">LAMINA YO ME CUIDO PERU  TIPO D 0.195 </v>
      </c>
      <c r="C38" s="188">
        <v>209630</v>
      </c>
      <c r="D38" s="347">
        <f>SUMIF(DATA!$A:$A,$A38,DATA!$B:$B)-SUMIFS(DATA!$B:$B,DATA!$A:$A,$A38,DATA!$E:$E,$L$1)</f>
        <v>0</v>
      </c>
      <c r="E38" s="348">
        <f t="shared" si="5"/>
        <v>0</v>
      </c>
      <c r="F38" s="189">
        <f t="shared" si="6"/>
        <v>0</v>
      </c>
      <c r="G38" s="190"/>
      <c r="H38" s="518"/>
      <c r="I38" s="519"/>
      <c r="J38" s="520"/>
      <c r="K38" s="191">
        <f t="shared" si="3"/>
        <v>0</v>
      </c>
      <c r="L38" s="257">
        <f t="shared" si="4"/>
        <v>0</v>
      </c>
      <c r="N38" s="185"/>
      <c r="O38" s="185"/>
      <c r="AB38" s="258">
        <v>213420</v>
      </c>
      <c r="AC38" s="286" t="s">
        <v>111</v>
      </c>
      <c r="AD38" s="258">
        <v>213438</v>
      </c>
      <c r="AE38" s="259" t="s">
        <v>112</v>
      </c>
    </row>
    <row r="39" spans="1:31" ht="13.5" customHeight="1" x14ac:dyDescent="0.15">
      <c r="A39" s="186">
        <v>212127</v>
      </c>
      <c r="B39" s="187" t="str">
        <f t="shared" si="2"/>
        <v xml:space="preserve">LAMINA YO ME CUIDO PERU ST TIPO D 0.195 </v>
      </c>
      <c r="C39" s="188">
        <v>212195</v>
      </c>
      <c r="D39" s="347">
        <f>SUMIF(DATA!$A:$A,$A39,DATA!$B:$B)-SUMIFS(DATA!$B:$B,DATA!$A:$A,$A39,DATA!$E:$E,$L$1)</f>
        <v>2393</v>
      </c>
      <c r="E39" s="348">
        <f t="shared" si="5"/>
        <v>1.4159763313609468</v>
      </c>
      <c r="F39" s="189">
        <f t="shared" si="6"/>
        <v>10.25522741587786</v>
      </c>
      <c r="G39" s="190"/>
      <c r="H39" s="518"/>
      <c r="I39" s="519"/>
      <c r="J39" s="520"/>
      <c r="K39" s="191">
        <f t="shared" si="3"/>
        <v>-8.8392510845169134</v>
      </c>
      <c r="L39" s="257">
        <f t="shared" si="4"/>
        <v>11560000</v>
      </c>
      <c r="N39" s="185"/>
      <c r="O39" s="185"/>
      <c r="AB39" s="258">
        <v>213341</v>
      </c>
      <c r="AC39" s="286" t="s">
        <v>113</v>
      </c>
      <c r="AD39" s="258">
        <v>213352</v>
      </c>
      <c r="AE39" s="259" t="s">
        <v>114</v>
      </c>
    </row>
    <row r="40" spans="1:31" ht="13.5" customHeight="1" x14ac:dyDescent="0.15">
      <c r="A40" s="186">
        <v>212481</v>
      </c>
      <c r="B40" s="187" t="str">
        <f t="shared" si="2"/>
        <v>LAMINA GOLDEN TIPO D 0.195</v>
      </c>
      <c r="C40" s="188">
        <v>209629</v>
      </c>
      <c r="D40" s="347">
        <f>SUMIF(DATA!$A:$A,$A40,DATA!$B:$B)-SUMIFS(DATA!$B:$B,DATA!$A:$A,$A40,DATA!$E:$E,$L$1)</f>
        <v>0</v>
      </c>
      <c r="E40" s="348">
        <f t="shared" si="5"/>
        <v>0</v>
      </c>
      <c r="F40" s="189">
        <f t="shared" si="6"/>
        <v>0</v>
      </c>
      <c r="G40" s="190"/>
      <c r="H40" s="518"/>
      <c r="I40" s="519"/>
      <c r="J40" s="520"/>
      <c r="K40" s="191">
        <f t="shared" si="3"/>
        <v>0</v>
      </c>
      <c r="L40" s="257">
        <f t="shared" si="4"/>
        <v>0</v>
      </c>
      <c r="N40" s="185"/>
      <c r="O40" s="185"/>
      <c r="AB40" s="258">
        <v>213321</v>
      </c>
      <c r="AC40" s="286" t="s">
        <v>115</v>
      </c>
      <c r="AD40" s="258">
        <v>213324</v>
      </c>
      <c r="AE40" s="259" t="s">
        <v>116</v>
      </c>
    </row>
    <row r="41" spans="1:31" ht="13.5" customHeight="1" x14ac:dyDescent="0.15">
      <c r="A41" s="186">
        <v>211306</v>
      </c>
      <c r="B41" s="187" t="str">
        <f t="shared" si="2"/>
        <v>LAMINA CUSQUEÑA CALIDAD TIPO D 0.195</v>
      </c>
      <c r="C41" s="188">
        <v>209631</v>
      </c>
      <c r="D41" s="347">
        <f>SUMIF(DATA!$A:$A,$A41,DATA!$B:$B)-SUMIFS(DATA!$B:$B,DATA!$A:$A,$A41,DATA!$E:$E,$L$1)</f>
        <v>0</v>
      </c>
      <c r="E41" s="348">
        <f t="shared" si="5"/>
        <v>0</v>
      </c>
      <c r="F41" s="189">
        <f t="shared" si="6"/>
        <v>0</v>
      </c>
      <c r="G41" s="190"/>
      <c r="H41" s="518"/>
      <c r="I41" s="519"/>
      <c r="J41" s="520"/>
      <c r="K41" s="191">
        <f t="shared" si="3"/>
        <v>0</v>
      </c>
      <c r="L41" s="257">
        <f t="shared" si="4"/>
        <v>0</v>
      </c>
      <c r="N41" s="185"/>
      <c r="O41" s="185"/>
      <c r="AB41" s="258">
        <v>213481</v>
      </c>
      <c r="AC41" s="286" t="s">
        <v>117</v>
      </c>
      <c r="AD41" s="258">
        <v>213482</v>
      </c>
      <c r="AE41" s="259" t="s">
        <v>118</v>
      </c>
    </row>
    <row r="42" spans="1:31" ht="13.5" customHeight="1" x14ac:dyDescent="0.15">
      <c r="A42" s="186">
        <v>213246</v>
      </c>
      <c r="B42" s="187" t="str">
        <f t="shared" si="2"/>
        <v>LAMINA CLUB PREMIUM CLASICA TIPO D 0.195</v>
      </c>
      <c r="C42" s="188">
        <v>213304</v>
      </c>
      <c r="D42" s="347">
        <f>SUMIF(DATA!$A:$A,$A42,DATA!$B:$B)-SUMIFS(DATA!$B:$B,DATA!$A:$A,$A42,DATA!$E:$E,$L$1)</f>
        <v>1468</v>
      </c>
      <c r="E42" s="348">
        <f t="shared" si="5"/>
        <v>0.86863905325443791</v>
      </c>
      <c r="F42" s="189">
        <f t="shared" si="6"/>
        <v>0</v>
      </c>
      <c r="G42" s="190"/>
      <c r="H42" s="518"/>
      <c r="I42" s="519"/>
      <c r="J42" s="520"/>
      <c r="K42" s="191">
        <f t="shared" si="3"/>
        <v>0.86863905325443791</v>
      </c>
      <c r="L42" s="257">
        <f t="shared" si="4"/>
        <v>0</v>
      </c>
      <c r="O42" s="185"/>
      <c r="AB42" s="258">
        <v>213349</v>
      </c>
      <c r="AC42" s="286" t="s">
        <v>119</v>
      </c>
      <c r="AD42" s="258">
        <v>213351</v>
      </c>
      <c r="AE42" s="259" t="s">
        <v>120</v>
      </c>
    </row>
    <row r="43" spans="1:31" ht="13.5" customHeight="1" x14ac:dyDescent="0.15">
      <c r="A43" s="186">
        <v>213367</v>
      </c>
      <c r="B43" s="187" t="str">
        <f t="shared" si="2"/>
        <v>LAMINA CLUB PREMIUM TW ECUADOR D0.195</v>
      </c>
      <c r="C43" s="188">
        <v>213631</v>
      </c>
      <c r="D43" s="347">
        <f>SUMIF(DATA!$A:$A,$A43,DATA!$B:$B)-SUMIFS(DATA!$B:$B,DATA!$A:$A,$A43,DATA!$E:$E,$L$1)</f>
        <v>520</v>
      </c>
      <c r="E43" s="348">
        <f t="shared" si="5"/>
        <v>0.30769230769230771</v>
      </c>
      <c r="F43" s="189">
        <f t="shared" si="6"/>
        <v>7.796989079424784</v>
      </c>
      <c r="G43" s="190">
        <v>8</v>
      </c>
      <c r="H43" s="518"/>
      <c r="I43" s="519"/>
      <c r="J43" s="520"/>
      <c r="K43" s="191">
        <f t="shared" si="3"/>
        <v>0.51070322826752435</v>
      </c>
      <c r="L43" s="257">
        <f t="shared" si="4"/>
        <v>8789000</v>
      </c>
      <c r="O43" s="185"/>
      <c r="AB43" s="258">
        <v>213322</v>
      </c>
      <c r="AC43" s="286" t="s">
        <v>121</v>
      </c>
      <c r="AD43" s="258">
        <v>213325</v>
      </c>
      <c r="AE43" s="259" t="s">
        <v>122</v>
      </c>
    </row>
    <row r="44" spans="1:31" ht="13.5" customHeight="1" x14ac:dyDescent="0.15">
      <c r="A44" s="186">
        <v>213807</v>
      </c>
      <c r="B44" s="187" t="str">
        <f t="shared" si="2"/>
        <v>LAMINA GENERICA PO ECUADOR CONVENCIONAL</v>
      </c>
      <c r="C44" s="188">
        <v>213805</v>
      </c>
      <c r="D44" s="347">
        <f>SUMIF(DATA!$A:$A,$A44,DATA!$B:$B)-SUMIFS(DATA!$B:$B,DATA!$A:$A,$A44,DATA!$E:$E,$L$1)</f>
        <v>0</v>
      </c>
      <c r="E44" s="348">
        <f t="shared" si="5"/>
        <v>0</v>
      </c>
      <c r="F44" s="189">
        <f t="shared" si="6"/>
        <v>0</v>
      </c>
      <c r="G44" s="190"/>
      <c r="H44" s="518"/>
      <c r="I44" s="519"/>
      <c r="J44" s="520"/>
      <c r="K44" s="191">
        <f t="shared" si="3"/>
        <v>0</v>
      </c>
      <c r="L44" s="257">
        <f t="shared" si="4"/>
        <v>0</v>
      </c>
      <c r="AB44" s="258">
        <v>213635</v>
      </c>
      <c r="AC44" s="286" t="s">
        <v>123</v>
      </c>
      <c r="AD44" s="258">
        <v>213637</v>
      </c>
      <c r="AE44" s="259" t="s">
        <v>124</v>
      </c>
    </row>
    <row r="45" spans="1:31" ht="13.5" customHeight="1" x14ac:dyDescent="0.15">
      <c r="A45" s="186">
        <v>213364</v>
      </c>
      <c r="B45" s="187" t="str">
        <f t="shared" si="2"/>
        <v>LAMINA PILSENER ECUADOR TW TIPO D 0.195</v>
      </c>
      <c r="C45" s="188">
        <v>213359</v>
      </c>
      <c r="D45" s="347">
        <f>SUMIF(DATA!$A:$A,$A45,DATA!$B:$B)-SUMIFS(DATA!$B:$B,DATA!$A:$A,$A45,DATA!$E:$E,$L$1)</f>
        <v>1404</v>
      </c>
      <c r="E45" s="348">
        <f t="shared" si="5"/>
        <v>0.83076923076923082</v>
      </c>
      <c r="F45" s="189">
        <f t="shared" si="6"/>
        <v>0</v>
      </c>
      <c r="G45" s="190"/>
      <c r="H45" s="518"/>
      <c r="I45" s="519"/>
      <c r="J45" s="520"/>
      <c r="K45" s="191">
        <f>(E45+G45)-F45</f>
        <v>0.83076923076923082</v>
      </c>
      <c r="L45" s="257">
        <f t="shared" si="4"/>
        <v>0</v>
      </c>
      <c r="AB45" s="258">
        <v>213676</v>
      </c>
      <c r="AC45" s="286" t="s">
        <v>125</v>
      </c>
      <c r="AD45" s="258">
        <v>213679</v>
      </c>
      <c r="AE45" s="259" t="s">
        <v>126</v>
      </c>
    </row>
    <row r="46" spans="1:31" ht="14.25" customHeight="1" x14ac:dyDescent="0.15">
      <c r="A46" s="186">
        <v>213885</v>
      </c>
      <c r="B46" s="187" t="str">
        <f t="shared" si="2"/>
        <v>LAMINA TIPO D PILSENER MUNDIAL ECUADOR</v>
      </c>
      <c r="C46" s="188">
        <v>213883</v>
      </c>
      <c r="D46" s="347">
        <f>SUMIF(DATA!$A:$A,$A46,DATA!$B:$B)-SUMIFS(DATA!$B:$B,DATA!$A:$A,$A46,DATA!$E:$E,$L$1)</f>
        <v>0</v>
      </c>
      <c r="E46" s="348">
        <f t="shared" si="5"/>
        <v>0</v>
      </c>
      <c r="F46" s="189">
        <f t="shared" si="6"/>
        <v>0</v>
      </c>
      <c r="G46" s="190"/>
      <c r="H46" s="518"/>
      <c r="I46" s="519"/>
      <c r="J46" s="520"/>
      <c r="K46" s="191">
        <f t="shared" si="3"/>
        <v>0</v>
      </c>
      <c r="L46" s="257">
        <f t="shared" si="4"/>
        <v>0</v>
      </c>
      <c r="AB46" s="258">
        <v>213731</v>
      </c>
      <c r="AC46" s="286" t="s">
        <v>127</v>
      </c>
      <c r="AD46" s="258">
        <v>213732</v>
      </c>
      <c r="AE46" s="259" t="s">
        <v>128</v>
      </c>
    </row>
    <row r="47" spans="1:31" ht="14.25" customHeight="1" x14ac:dyDescent="0.15">
      <c r="A47" s="186">
        <v>213886</v>
      </c>
      <c r="B47" s="187" t="str">
        <f t="shared" si="2"/>
        <v>LAMINA TIPO D PILSENER UV MUNDIAL EC</v>
      </c>
      <c r="C47" s="188">
        <v>213883</v>
      </c>
      <c r="D47" s="347">
        <f>SUMIF(DATA!$A:$A,$A47,DATA!$B:$B)-SUMIFS(DATA!$B:$B,DATA!$A:$A,$A47,DATA!$E:$E,$L$1)</f>
        <v>0</v>
      </c>
      <c r="E47" s="348">
        <f t="shared" si="5"/>
        <v>0</v>
      </c>
      <c r="F47" s="189">
        <f t="shared" si="6"/>
        <v>0</v>
      </c>
      <c r="G47" s="190"/>
      <c r="H47" s="518"/>
      <c r="I47" s="519"/>
      <c r="J47" s="520"/>
      <c r="K47" s="191">
        <f t="shared" ref="K47:K52" si="9">(E47+G47)-F47</f>
        <v>0</v>
      </c>
      <c r="L47" s="257">
        <f t="shared" si="4"/>
        <v>0</v>
      </c>
      <c r="AB47" s="258">
        <v>213735</v>
      </c>
      <c r="AC47" s="286" t="s">
        <v>129</v>
      </c>
      <c r="AD47" s="258">
        <v>213738</v>
      </c>
      <c r="AE47" s="259" t="s">
        <v>130</v>
      </c>
    </row>
    <row r="48" spans="1:31" ht="13.5" customHeight="1" x14ac:dyDescent="0.15">
      <c r="A48" s="186">
        <v>213239</v>
      </c>
      <c r="B48" s="187" t="str">
        <f t="shared" si="2"/>
        <v>LAMINA PILSENER TIPO D 0.195</v>
      </c>
      <c r="C48" s="188">
        <v>213302</v>
      </c>
      <c r="D48" s="347">
        <f>SUMIF(DATA!$A:$A,$A48,DATA!$B:$B)-SUMIFS(DATA!$B:$B,DATA!$A:$A,$A48,DATA!$E:$E,$L$1)</f>
        <v>371</v>
      </c>
      <c r="E48" s="348">
        <f t="shared" si="5"/>
        <v>0.2195266272189349</v>
      </c>
      <c r="F48" s="189">
        <f t="shared" si="6"/>
        <v>0</v>
      </c>
      <c r="G48" s="190"/>
      <c r="H48" s="518"/>
      <c r="I48" s="519"/>
      <c r="J48" s="520"/>
      <c r="K48" s="191">
        <f t="shared" si="9"/>
        <v>0.2195266272189349</v>
      </c>
      <c r="L48" s="257">
        <f t="shared" si="4"/>
        <v>0</v>
      </c>
      <c r="AB48" s="258"/>
      <c r="AC48" s="286"/>
      <c r="AD48" s="258">
        <v>213364</v>
      </c>
      <c r="AE48" s="259" t="s">
        <v>131</v>
      </c>
    </row>
    <row r="49" spans="1:31" ht="13.5" customHeight="1" x14ac:dyDescent="0.15">
      <c r="A49" s="186">
        <v>213241</v>
      </c>
      <c r="B49" s="187" t="str">
        <f t="shared" si="2"/>
        <v>LAMINA PILSENER LIGHT D 0.195</v>
      </c>
      <c r="C49" s="188">
        <v>213303</v>
      </c>
      <c r="D49" s="347">
        <f>SUMIF(DATA!$A:$A,$A49,DATA!$B:$B)-SUMIFS(DATA!$B:$B,DATA!$A:$A,$A49,DATA!$E:$E,$L$1)</f>
        <v>0</v>
      </c>
      <c r="E49" s="348">
        <f t="shared" si="5"/>
        <v>0</v>
      </c>
      <c r="F49" s="189">
        <f t="shared" si="6"/>
        <v>0</v>
      </c>
      <c r="G49" s="190"/>
      <c r="H49" s="518"/>
      <c r="I49" s="519"/>
      <c r="J49" s="520"/>
      <c r="K49" s="191">
        <f t="shared" si="9"/>
        <v>0</v>
      </c>
      <c r="L49" s="257">
        <f t="shared" si="4"/>
        <v>0</v>
      </c>
      <c r="AB49" s="258">
        <v>213805</v>
      </c>
      <c r="AC49" s="286" t="s">
        <v>132</v>
      </c>
      <c r="AD49" s="258">
        <v>213807</v>
      </c>
      <c r="AE49" s="259" t="s">
        <v>133</v>
      </c>
    </row>
    <row r="50" spans="1:31" ht="13.5" customHeight="1" x14ac:dyDescent="0.15">
      <c r="A50" s="186">
        <v>213351</v>
      </c>
      <c r="B50" s="187" t="str">
        <f t="shared" si="2"/>
        <v>LAMINA NUESTRA SIEMBRA D 0.195</v>
      </c>
      <c r="C50" s="188">
        <v>213349</v>
      </c>
      <c r="D50" s="347">
        <f>SUMIF(DATA!$A:$A,$A50,DATA!$B:$B)-SUMIFS(DATA!$B:$B,DATA!$A:$A,$A50,DATA!$E:$E,$L$1)</f>
        <v>0</v>
      </c>
      <c r="E50" s="348">
        <f t="shared" si="5"/>
        <v>0</v>
      </c>
      <c r="F50" s="189">
        <f t="shared" si="6"/>
        <v>0</v>
      </c>
      <c r="G50" s="190"/>
      <c r="H50" s="518"/>
      <c r="I50" s="519"/>
      <c r="J50" s="520"/>
      <c r="K50" s="191">
        <f t="shared" si="9"/>
        <v>0</v>
      </c>
      <c r="L50" s="257">
        <f t="shared" si="4"/>
        <v>0</v>
      </c>
      <c r="AB50" s="258">
        <v>213302</v>
      </c>
      <c r="AC50" s="286" t="s">
        <v>134</v>
      </c>
      <c r="AD50" s="258">
        <v>213239</v>
      </c>
      <c r="AE50" s="259" t="s">
        <v>135</v>
      </c>
    </row>
    <row r="51" spans="1:31" ht="13.5" customHeight="1" x14ac:dyDescent="0.15">
      <c r="A51" s="346">
        <v>213995</v>
      </c>
      <c r="B51" s="345" t="s">
        <v>136</v>
      </c>
      <c r="C51" s="188">
        <v>213994</v>
      </c>
      <c r="D51" s="347">
        <f>SUMIF(DATA!$A:$A,$A51,DATA!$B:$B)-SUMIFS(DATA!$B:$B,DATA!$A:$A,$A51,DATA!$E:$E,$L$1)</f>
        <v>310</v>
      </c>
      <c r="E51" s="348">
        <f t="shared" si="5"/>
        <v>0.18343195266272189</v>
      </c>
      <c r="F51" s="189">
        <f t="shared" si="6"/>
        <v>17.428563824596576</v>
      </c>
      <c r="G51" s="190"/>
      <c r="H51" s="518"/>
      <c r="I51" s="519"/>
      <c r="J51" s="520"/>
      <c r="K51" s="191">
        <f>(E51+G51)-F51</f>
        <v>-17.245131871933854</v>
      </c>
      <c r="L51" s="257">
        <f t="shared" si="4"/>
        <v>19646000</v>
      </c>
      <c r="N51" s="260">
        <f>25-18</f>
        <v>7</v>
      </c>
      <c r="AB51" s="258">
        <v>213361</v>
      </c>
      <c r="AC51" s="286" t="s">
        <v>137</v>
      </c>
      <c r="AD51" s="258">
        <v>213367</v>
      </c>
      <c r="AE51" s="259" t="s">
        <v>138</v>
      </c>
    </row>
    <row r="52" spans="1:31" ht="13.5" customHeight="1" x14ac:dyDescent="0.15">
      <c r="A52" s="346">
        <v>213996</v>
      </c>
      <c r="B52" s="345" t="s">
        <v>139</v>
      </c>
      <c r="C52" s="188">
        <v>213994</v>
      </c>
      <c r="D52" s="347">
        <f>SUMIF(DATA!$A:$A,$A52,DATA!$B:$B)-SUMIFS(DATA!$B:$B,DATA!$A:$A,$A52,DATA!$E:$E,$L$1)</f>
        <v>8602</v>
      </c>
      <c r="E52" s="348">
        <f t="shared" si="5"/>
        <v>5.0899408284023666</v>
      </c>
      <c r="F52" s="189">
        <f t="shared" si="6"/>
        <v>0</v>
      </c>
      <c r="G52" s="190"/>
      <c r="H52" s="518"/>
      <c r="I52" s="519"/>
      <c r="J52" s="520"/>
      <c r="K52" s="191">
        <f t="shared" si="9"/>
        <v>5.0899408284023666</v>
      </c>
      <c r="L52" s="257">
        <f t="shared" si="4"/>
        <v>0</v>
      </c>
      <c r="AB52" s="258">
        <v>202918</v>
      </c>
      <c r="AC52" s="286" t="s">
        <v>140</v>
      </c>
      <c r="AD52" s="258">
        <v>206890</v>
      </c>
      <c r="AE52" s="259" t="s">
        <v>141</v>
      </c>
    </row>
    <row r="53" spans="1:31" ht="14.25" customHeight="1" x14ac:dyDescent="0.15">
      <c r="D53" s="192">
        <f>SUM(D5:D52)</f>
        <v>103627</v>
      </c>
      <c r="E53" s="193">
        <f>SUM(E5:E52)</f>
        <v>61.317751479289939</v>
      </c>
      <c r="F53" s="193">
        <f>SUM(F5:F52)</f>
        <v>69.537716348926125</v>
      </c>
      <c r="G53" s="194"/>
      <c r="H53" s="194"/>
      <c r="I53" s="194"/>
      <c r="J53" s="194"/>
      <c r="K53" s="193">
        <f>SUM(K5:K52)</f>
        <v>28.780035130363807</v>
      </c>
      <c r="AB53" s="258">
        <v>208472</v>
      </c>
      <c r="AC53" s="286" t="s">
        <v>42</v>
      </c>
      <c r="AD53" s="258">
        <v>202737</v>
      </c>
      <c r="AE53" s="259" t="s">
        <v>142</v>
      </c>
    </row>
    <row r="54" spans="1:31" ht="13.5" customHeight="1" x14ac:dyDescent="0.15">
      <c r="AB54" s="258">
        <v>202732</v>
      </c>
      <c r="AC54" s="286" t="s">
        <v>70</v>
      </c>
      <c r="AD54" s="258">
        <v>207301</v>
      </c>
      <c r="AE54" s="259" t="s">
        <v>143</v>
      </c>
    </row>
    <row r="55" spans="1:31" ht="14.25" customHeight="1" x14ac:dyDescent="0.15">
      <c r="AB55" s="258">
        <v>208472</v>
      </c>
      <c r="AC55" s="286" t="s">
        <v>42</v>
      </c>
      <c r="AD55" s="258">
        <v>208477</v>
      </c>
      <c r="AE55" s="259" t="s">
        <v>144</v>
      </c>
    </row>
    <row r="56" spans="1:31" ht="14.25" customHeight="1" x14ac:dyDescent="0.15">
      <c r="AB56" s="258">
        <v>204340</v>
      </c>
      <c r="AC56" s="286" t="s">
        <v>145</v>
      </c>
      <c r="AD56" s="258">
        <v>204388</v>
      </c>
      <c r="AE56" s="259" t="s">
        <v>146</v>
      </c>
    </row>
    <row r="57" spans="1:31" ht="14.25" customHeight="1" x14ac:dyDescent="0.15">
      <c r="N57" s="185"/>
      <c r="AB57" s="258"/>
      <c r="AC57" s="286"/>
      <c r="AD57" s="258">
        <v>206458</v>
      </c>
      <c r="AE57" s="259" t="s">
        <v>147</v>
      </c>
    </row>
    <row r="58" spans="1:31" ht="14.25" customHeight="1" x14ac:dyDescent="0.15">
      <c r="N58" s="185"/>
      <c r="AB58" s="258">
        <v>209957</v>
      </c>
      <c r="AC58" s="286" t="s">
        <v>148</v>
      </c>
      <c r="AD58" s="258">
        <v>209962</v>
      </c>
      <c r="AE58" s="259" t="s">
        <v>149</v>
      </c>
    </row>
    <row r="59" spans="1:31" ht="14.25" customHeight="1" x14ac:dyDescent="0.15">
      <c r="N59" s="185"/>
      <c r="O59" s="185"/>
      <c r="AB59" s="258">
        <v>210125</v>
      </c>
      <c r="AC59" s="286" t="s">
        <v>150</v>
      </c>
      <c r="AD59" s="258">
        <v>210128</v>
      </c>
      <c r="AE59" s="259" t="s">
        <v>151</v>
      </c>
    </row>
    <row r="60" spans="1:31" ht="14.25" customHeight="1" x14ac:dyDescent="0.15">
      <c r="N60" s="185"/>
      <c r="O60" s="185"/>
      <c r="AB60" s="258">
        <v>213172</v>
      </c>
      <c r="AC60" s="286" t="s">
        <v>152</v>
      </c>
      <c r="AD60" s="258">
        <v>213174</v>
      </c>
      <c r="AE60" s="259" t="s">
        <v>153</v>
      </c>
    </row>
    <row r="61" spans="1:31" ht="14.25" customHeight="1" x14ac:dyDescent="0.15">
      <c r="N61" s="185"/>
      <c r="O61" s="185"/>
      <c r="AB61" s="258">
        <v>213302</v>
      </c>
      <c r="AC61" s="286" t="s">
        <v>134</v>
      </c>
      <c r="AD61" s="258">
        <v>213240</v>
      </c>
      <c r="AE61" s="259" t="s">
        <v>154</v>
      </c>
    </row>
    <row r="62" spans="1:31" ht="14.25" customHeight="1" x14ac:dyDescent="0.15">
      <c r="N62" s="185"/>
      <c r="O62" s="185"/>
      <c r="AB62" s="258">
        <v>213303</v>
      </c>
      <c r="AC62" s="286" t="s">
        <v>155</v>
      </c>
      <c r="AD62" s="258">
        <v>213242</v>
      </c>
      <c r="AE62" s="259" t="s">
        <v>156</v>
      </c>
    </row>
    <row r="63" spans="1:31" ht="14.25" customHeight="1" x14ac:dyDescent="0.15">
      <c r="N63" s="185"/>
      <c r="O63" s="185"/>
      <c r="AB63" s="258">
        <v>213304</v>
      </c>
      <c r="AC63" s="286" t="s">
        <v>109</v>
      </c>
      <c r="AD63" s="258">
        <v>213245</v>
      </c>
      <c r="AE63" s="259" t="s">
        <v>157</v>
      </c>
    </row>
    <row r="64" spans="1:31" ht="14.25" customHeight="1" x14ac:dyDescent="0.15">
      <c r="N64" s="185"/>
      <c r="O64" s="185"/>
      <c r="AB64" s="258">
        <v>213303</v>
      </c>
      <c r="AC64" s="286" t="s">
        <v>155</v>
      </c>
      <c r="AD64" s="258">
        <v>213241</v>
      </c>
      <c r="AE64" s="259" t="s">
        <v>158</v>
      </c>
    </row>
    <row r="65" spans="14:31" ht="14.25" customHeight="1" x14ac:dyDescent="0.15">
      <c r="N65" s="185"/>
      <c r="O65" s="185"/>
      <c r="AB65" s="258">
        <v>213801</v>
      </c>
      <c r="AC65" s="286" t="s">
        <v>159</v>
      </c>
      <c r="AD65" s="258">
        <v>213802</v>
      </c>
      <c r="AE65" s="259" t="s">
        <v>160</v>
      </c>
    </row>
    <row r="66" spans="14:31" ht="14.25" customHeight="1" x14ac:dyDescent="0.15">
      <c r="N66" s="185"/>
      <c r="O66" s="185"/>
      <c r="AB66" s="258">
        <v>213867</v>
      </c>
      <c r="AC66" s="286" t="s">
        <v>161</v>
      </c>
      <c r="AD66" s="258">
        <v>213868</v>
      </c>
      <c r="AE66" s="259" t="s">
        <v>162</v>
      </c>
    </row>
    <row r="67" spans="14:31" ht="14.25" customHeight="1" x14ac:dyDescent="0.15">
      <c r="N67" s="185"/>
      <c r="O67" s="185"/>
      <c r="AB67" s="258">
        <v>213867</v>
      </c>
      <c r="AC67" s="286" t="s">
        <v>161</v>
      </c>
      <c r="AD67" s="258">
        <v>213869</v>
      </c>
      <c r="AE67" s="259" t="s">
        <v>163</v>
      </c>
    </row>
    <row r="68" spans="14:31" ht="14.25" customHeight="1" x14ac:dyDescent="0.15">
      <c r="N68" s="185"/>
      <c r="O68" s="185"/>
      <c r="AB68" s="258">
        <v>213883</v>
      </c>
      <c r="AC68" s="286" t="s">
        <v>164</v>
      </c>
      <c r="AD68" s="258">
        <v>213885</v>
      </c>
      <c r="AE68" s="259" t="s">
        <v>165</v>
      </c>
    </row>
    <row r="69" spans="14:31" ht="14.25" customHeight="1" x14ac:dyDescent="0.15">
      <c r="N69" s="185"/>
      <c r="O69" s="185"/>
      <c r="AB69" s="258">
        <v>213883</v>
      </c>
      <c r="AC69" s="286" t="s">
        <v>164</v>
      </c>
      <c r="AD69" s="258">
        <v>213886</v>
      </c>
      <c r="AE69" s="259" t="s">
        <v>166</v>
      </c>
    </row>
    <row r="70" spans="14:31" ht="14.25" customHeight="1" x14ac:dyDescent="0.15">
      <c r="N70" s="185"/>
      <c r="O70" s="185"/>
      <c r="AB70" s="258">
        <v>202904</v>
      </c>
      <c r="AC70" s="286" t="s">
        <v>167</v>
      </c>
      <c r="AD70" s="258">
        <v>211208</v>
      </c>
      <c r="AE70" s="259" t="s">
        <v>168</v>
      </c>
    </row>
    <row r="71" spans="14:31" ht="14.25" customHeight="1" x14ac:dyDescent="0.15">
      <c r="N71" s="185"/>
      <c r="O71" s="185"/>
      <c r="AB71" s="258">
        <v>206943</v>
      </c>
      <c r="AC71" s="286" t="s">
        <v>169</v>
      </c>
      <c r="AD71" s="258">
        <v>211208</v>
      </c>
      <c r="AE71" s="259" t="s">
        <v>168</v>
      </c>
    </row>
    <row r="72" spans="14:31" ht="14.25" customHeight="1" x14ac:dyDescent="0.15">
      <c r="N72" s="185"/>
      <c r="O72" s="185"/>
      <c r="AB72" s="259">
        <v>213412</v>
      </c>
      <c r="AC72" s="320" t="s">
        <v>170</v>
      </c>
      <c r="AD72" s="259">
        <v>211209</v>
      </c>
      <c r="AE72" s="259" t="s">
        <v>75</v>
      </c>
    </row>
    <row r="73" spans="14:31" ht="14.25" customHeight="1" x14ac:dyDescent="0.15">
      <c r="N73" s="185"/>
      <c r="O73" s="185"/>
      <c r="AB73" s="344">
        <v>213994</v>
      </c>
      <c r="AC73" s="185" t="s">
        <v>171</v>
      </c>
      <c r="AD73" s="344">
        <v>213995</v>
      </c>
      <c r="AE73" s="345" t="s">
        <v>136</v>
      </c>
    </row>
    <row r="74" spans="14:31" ht="14.25" customHeight="1" x14ac:dyDescent="0.15">
      <c r="N74" s="185"/>
      <c r="O74" s="185"/>
      <c r="AB74" s="344">
        <v>213994</v>
      </c>
      <c r="AC74" s="185" t="s">
        <v>171</v>
      </c>
      <c r="AD74" s="344">
        <v>213996</v>
      </c>
      <c r="AE74" s="345" t="s">
        <v>139</v>
      </c>
    </row>
    <row r="75" spans="14:31" ht="14.25" customHeight="1" x14ac:dyDescent="0.15">
      <c r="N75" s="185"/>
      <c r="O75" s="185"/>
    </row>
    <row r="76" spans="14:31" ht="14.25" customHeight="1" x14ac:dyDescent="0.15">
      <c r="N76" s="185"/>
      <c r="O76" s="185"/>
    </row>
    <row r="77" spans="14:31" ht="14.25" customHeight="1" x14ac:dyDescent="0.15">
      <c r="N77" s="185"/>
      <c r="O77" s="185"/>
    </row>
    <row r="78" spans="14:31" ht="14.25" customHeight="1" x14ac:dyDescent="0.15">
      <c r="N78" s="185"/>
      <c r="O78" s="185"/>
    </row>
    <row r="79" spans="14:31" ht="14.25" customHeight="1" x14ac:dyDescent="0.15">
      <c r="N79" s="185"/>
      <c r="O79" s="185"/>
    </row>
    <row r="80" spans="14:31" ht="14.25" customHeight="1" x14ac:dyDescent="0.15">
      <c r="N80" s="185"/>
      <c r="O80" s="185"/>
    </row>
    <row r="81" spans="14:15" ht="14.25" customHeight="1" x14ac:dyDescent="0.15">
      <c r="N81" s="185"/>
      <c r="O81" s="185"/>
    </row>
    <row r="82" spans="14:15" ht="14.25" customHeight="1" x14ac:dyDescent="0.15">
      <c r="N82" s="185"/>
      <c r="O82" s="185"/>
    </row>
    <row r="83" spans="14:15" ht="14.25" customHeight="1" x14ac:dyDescent="0.15">
      <c r="O83" s="185"/>
    </row>
    <row r="84" spans="14:15" ht="14.25" customHeight="1" x14ac:dyDescent="0.15">
      <c r="N84" s="185"/>
      <c r="O84" s="185"/>
    </row>
    <row r="85" spans="14:15" ht="14.25" customHeight="1" x14ac:dyDescent="0.15">
      <c r="N85" s="185"/>
      <c r="O85" s="185"/>
    </row>
    <row r="86" spans="14:15" ht="14.25" customHeight="1" x14ac:dyDescent="0.15">
      <c r="N86" s="185"/>
      <c r="O86" s="185"/>
    </row>
    <row r="87" spans="14:15" ht="14.25" customHeight="1" x14ac:dyDescent="0.15">
      <c r="N87" s="185"/>
      <c r="O87" s="185"/>
    </row>
    <row r="88" spans="14:15" ht="14.25" customHeight="1" x14ac:dyDescent="0.15">
      <c r="N88" s="185"/>
      <c r="O88" s="185"/>
    </row>
    <row r="89" spans="14:15" ht="14.25" customHeight="1" x14ac:dyDescent="0.15">
      <c r="N89" s="185"/>
      <c r="O89" s="185"/>
    </row>
    <row r="90" spans="14:15" ht="14.25" customHeight="1" x14ac:dyDescent="0.15">
      <c r="N90" s="185"/>
      <c r="O90" s="185"/>
    </row>
    <row r="91" spans="14:15" ht="14.25" customHeight="1" x14ac:dyDescent="0.15">
      <c r="N91" s="185"/>
      <c r="O91" s="185"/>
    </row>
    <row r="92" spans="14:15" ht="14.25" customHeight="1" x14ac:dyDescent="0.15">
      <c r="N92" s="185"/>
      <c r="O92" s="185"/>
    </row>
    <row r="93" spans="14:15" ht="14.25" customHeight="1" x14ac:dyDescent="0.15">
      <c r="N93" s="185"/>
      <c r="O93" s="185"/>
    </row>
    <row r="94" spans="14:15" ht="14.25" customHeight="1" x14ac:dyDescent="0.15">
      <c r="N94" s="185"/>
      <c r="O94" s="185"/>
    </row>
    <row r="95" spans="14:15" ht="14.25" customHeight="1" x14ac:dyDescent="0.15">
      <c r="N95" s="185"/>
      <c r="O95" s="185"/>
    </row>
    <row r="96" spans="14:15" ht="14.25" customHeight="1" x14ac:dyDescent="0.15">
      <c r="N96" s="185"/>
      <c r="O96" s="185"/>
    </row>
    <row r="97" spans="15:15" s="185" customFormat="1" ht="14.25" customHeight="1" x14ac:dyDescent="0.15"/>
    <row r="98" spans="15:15" ht="14.25" customHeight="1" x14ac:dyDescent="0.15">
      <c r="O98" s="185"/>
    </row>
    <row r="99" spans="15:15" ht="14.25" customHeight="1" x14ac:dyDescent="0.15">
      <c r="O99" s="185"/>
    </row>
  </sheetData>
  <autoFilter ref="A4:K50" xr:uid="{EF48607F-D4CC-4CDF-BA34-13294F90555E}">
    <filterColumn colId="7" showButton="0"/>
    <filterColumn colId="8" showButton="0"/>
  </autoFilter>
  <mergeCells count="56">
    <mergeCell ref="H51:J51"/>
    <mergeCell ref="H52:J52"/>
    <mergeCell ref="O1:P1"/>
    <mergeCell ref="H50:J50"/>
    <mergeCell ref="H48:J48"/>
    <mergeCell ref="H47:J47"/>
    <mergeCell ref="H45:J45"/>
    <mergeCell ref="H46:J46"/>
    <mergeCell ref="H49:J49"/>
    <mergeCell ref="H13:J13"/>
    <mergeCell ref="H4:J4"/>
    <mergeCell ref="H5:J5"/>
    <mergeCell ref="H6:J6"/>
    <mergeCell ref="H7:J7"/>
    <mergeCell ref="H8:J8"/>
    <mergeCell ref="H9:J9"/>
    <mergeCell ref="H10:J10"/>
    <mergeCell ref="H11:J11"/>
    <mergeCell ref="A2:A3"/>
    <mergeCell ref="B2:B3"/>
    <mergeCell ref="F2:F3"/>
    <mergeCell ref="K2:K3"/>
    <mergeCell ref="C3:E3"/>
    <mergeCell ref="G1:J3"/>
    <mergeCell ref="H12:J12"/>
    <mergeCell ref="H25:J25"/>
    <mergeCell ref="H14:J14"/>
    <mergeCell ref="H15:J15"/>
    <mergeCell ref="H16:J16"/>
    <mergeCell ref="H17:J17"/>
    <mergeCell ref="H18:J18"/>
    <mergeCell ref="H24:J24"/>
    <mergeCell ref="H19:J19"/>
    <mergeCell ref="H20:J20"/>
    <mergeCell ref="H21:J21"/>
    <mergeCell ref="H22:J22"/>
    <mergeCell ref="H23:J23"/>
    <mergeCell ref="H37:J37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44:J44"/>
    <mergeCell ref="H38:J38"/>
    <mergeCell ref="H39:J39"/>
    <mergeCell ref="H40:J40"/>
    <mergeCell ref="H41:J41"/>
    <mergeCell ref="H42:J42"/>
    <mergeCell ref="H43:J43"/>
  </mergeCells>
  <conditionalFormatting sqref="A5:H50">
    <cfRule type="expression" dxfId="72" priority="10">
      <formula>$F5&gt;0</formula>
    </cfRule>
  </conditionalFormatting>
  <conditionalFormatting sqref="C51:H52">
    <cfRule type="expression" dxfId="71" priority="2">
      <formula>$F51&gt;0</formula>
    </cfRule>
  </conditionalFormatting>
  <conditionalFormatting sqref="K1:K3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{42279DCC-EB98-402A-A59C-BA517A6CEEC5}</x14:id>
        </ext>
      </extLst>
    </cfRule>
  </conditionalFormatting>
  <conditionalFormatting sqref="K5:K52">
    <cfRule type="cellIs" dxfId="70" priority="1" operator="lessThan">
      <formula>0</formula>
    </cfRule>
    <cfRule type="expression" dxfId="69" priority="3">
      <formula>$F5&gt;0</formula>
    </cfRule>
    <cfRule type="cellIs" dxfId="68" priority="4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279DCC-EB98-402A-A59C-BA517A6CEE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K1:K3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A082-A073-4534-BEF1-B3FAB4DB49C4}">
  <dimension ref="A1:EF306"/>
  <sheetViews>
    <sheetView showGridLines="0" tabSelected="1" topLeftCell="BW29" zoomScale="85" zoomScaleNormal="85" workbookViewId="0">
      <selection activeCell="BY49" sqref="BY49:BY50"/>
    </sheetView>
  </sheetViews>
  <sheetFormatPr defaultColWidth="12.01171875" defaultRowHeight="15" customHeight="1" x14ac:dyDescent="0.15"/>
  <cols>
    <col min="1" max="1" width="17.40625" style="6" customWidth="1"/>
    <col min="2" max="2" width="20.59375" style="6" customWidth="1"/>
    <col min="3" max="3" width="15.56640625" style="6" customWidth="1"/>
    <col min="4" max="4" width="17.40625" style="6" customWidth="1"/>
    <col min="5" max="5" width="16.91796875" style="6" customWidth="1"/>
    <col min="6" max="6" width="16.79296875" style="6" customWidth="1"/>
    <col min="7" max="7" width="17.40625" style="6" customWidth="1"/>
    <col min="8" max="8" width="17.0390625" style="6" customWidth="1"/>
    <col min="9" max="9" width="18.265625" style="6" customWidth="1"/>
    <col min="10" max="10" width="18.38671875" style="6" customWidth="1"/>
    <col min="11" max="11" width="16.91796875" style="6" customWidth="1"/>
    <col min="12" max="12" width="16.546875" style="6" customWidth="1"/>
    <col min="13" max="13" width="23.29296875" style="6" customWidth="1"/>
    <col min="14" max="14" width="15.078125" style="6" customWidth="1"/>
    <col min="15" max="15" width="22.5546875" style="6" customWidth="1"/>
    <col min="16" max="16" width="15.078125" style="6" customWidth="1"/>
    <col min="17" max="17" width="22.80078125" style="6" customWidth="1"/>
    <col min="18" max="18" width="19" style="6" customWidth="1"/>
    <col min="19" max="19" width="19.24609375" style="6" customWidth="1"/>
    <col min="20" max="20" width="20.59375" style="6" customWidth="1"/>
    <col min="21" max="21" width="16.91796875" style="6" customWidth="1"/>
    <col min="22" max="22" width="19.24609375" style="6" customWidth="1"/>
    <col min="23" max="23" width="20.83984375" style="6" customWidth="1"/>
    <col min="24" max="24" width="18.01953125" style="6" customWidth="1"/>
    <col min="25" max="25" width="19" style="6" customWidth="1"/>
    <col min="26" max="26" width="19.4921875" style="6" customWidth="1"/>
    <col min="27" max="30" width="15.078125" style="6" customWidth="1"/>
    <col min="31" max="31" width="13.60546875" style="6" customWidth="1"/>
    <col min="32" max="33" width="15.078125" style="6" customWidth="1"/>
    <col min="34" max="34" width="28.9296875" style="6" customWidth="1"/>
    <col min="35" max="35" width="36.65234375" style="6" customWidth="1"/>
    <col min="36" max="36" width="36.1640625" style="6" customWidth="1"/>
    <col min="37" max="37" width="38.6171875" style="6" customWidth="1"/>
    <col min="38" max="38" width="34.44921875" style="6" customWidth="1"/>
    <col min="39" max="39" width="35.3046875" style="6" customWidth="1"/>
    <col min="40" max="40" width="33.7109375" style="6" customWidth="1"/>
    <col min="41" max="41" width="34.5703125" style="6" customWidth="1"/>
    <col min="42" max="42" width="34.32421875" style="6" customWidth="1"/>
    <col min="43" max="43" width="36.1640625" style="6" customWidth="1"/>
    <col min="44" max="44" width="35.91796875" style="6" customWidth="1"/>
    <col min="45" max="45" width="34.81640625" style="6" customWidth="1"/>
    <col min="46" max="46" width="41.19140625" style="6" customWidth="1"/>
    <col min="47" max="47" width="39.23046875" style="6" customWidth="1"/>
    <col min="48" max="48" width="35.671875" style="6" customWidth="1"/>
    <col min="49" max="49" width="41.92578125" style="6" customWidth="1"/>
    <col min="50" max="50" width="39.10546875" style="6" customWidth="1"/>
    <col min="51" max="51" width="39.59765625" style="6" customWidth="1"/>
    <col min="52" max="52" width="41.19140625" style="6" customWidth="1"/>
    <col min="53" max="53" width="42.046875" style="6" customWidth="1"/>
    <col min="54" max="54" width="39.59765625" style="6" customWidth="1"/>
    <col min="55" max="55" width="35.4296875" style="6" customWidth="1"/>
    <col min="56" max="56" width="33.58984375" style="6" customWidth="1"/>
    <col min="57" max="60" width="37.14453125" style="6" customWidth="1"/>
    <col min="61" max="61" width="40.2109375" style="6" customWidth="1"/>
    <col min="62" max="62" width="37.14453125" style="6" customWidth="1"/>
    <col min="63" max="63" width="45.7265625" style="6" customWidth="1"/>
    <col min="64" max="64" width="41.19140625" style="6" customWidth="1"/>
    <col min="65" max="65" width="44.25390625" style="6" customWidth="1"/>
    <col min="66" max="66" width="39.47265625" style="6" customWidth="1"/>
    <col min="67" max="67" width="37.0234375" style="6" customWidth="1"/>
    <col min="68" max="68" width="34.9375" style="6" customWidth="1"/>
    <col min="69" max="69" width="42.41796875" style="6" customWidth="1"/>
    <col min="70" max="70" width="40.69921875" style="6" customWidth="1"/>
    <col min="71" max="71" width="43.2734375" style="6" customWidth="1"/>
    <col min="72" max="72" width="36.41015625" style="6" customWidth="1"/>
    <col min="73" max="73" width="44.74609375" style="6" customWidth="1"/>
    <col min="74" max="74" width="40.2109375" style="6" customWidth="1"/>
    <col min="75" max="75" width="40.578125" style="6" customWidth="1"/>
    <col min="76" max="76" width="37.7578125" style="6" customWidth="1"/>
    <col min="77" max="77" width="47.3203125" style="6" customWidth="1"/>
    <col min="78" max="78" width="27.703125" style="6" customWidth="1"/>
    <col min="79" max="81" width="28.9296875" style="6" customWidth="1"/>
    <col min="82" max="82" width="24.515625" style="6" customWidth="1"/>
    <col min="83" max="83" width="28.9296875" style="6" customWidth="1"/>
    <col min="84" max="84" width="15.19921875" style="6" customWidth="1"/>
    <col min="85" max="85" width="28.9296875" style="6" customWidth="1"/>
    <col min="86" max="86" width="21.328125" style="6" customWidth="1"/>
    <col min="87" max="87" width="13.8515625" style="145" customWidth="1"/>
    <col min="88" max="88" width="10.91015625" style="145" customWidth="1"/>
    <col min="89" max="89" width="42.41796875" style="145" customWidth="1"/>
    <col min="90" max="90" width="18.51171875" style="145" customWidth="1"/>
    <col min="91" max="91" width="49.40234375" style="145" customWidth="1"/>
    <col min="92" max="16384" width="12.01171875" style="6"/>
  </cols>
  <sheetData>
    <row r="1" spans="1:136" ht="1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15" t="s">
        <v>172</v>
      </c>
      <c r="AF1" s="415"/>
      <c r="AG1" s="415"/>
      <c r="AH1" s="419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4"/>
      <c r="CI1" s="5" t="s">
        <v>19</v>
      </c>
      <c r="CJ1" s="5" t="s">
        <v>18</v>
      </c>
      <c r="CK1" s="5" t="s">
        <v>173</v>
      </c>
      <c r="CL1" s="5" t="s">
        <v>174</v>
      </c>
      <c r="CM1" s="5" t="s">
        <v>175</v>
      </c>
      <c r="CN1" s="225" t="s">
        <v>176</v>
      </c>
      <c r="CO1" s="225" t="s">
        <v>177</v>
      </c>
      <c r="CP1" s="224">
        <f>AI15</f>
        <v>0</v>
      </c>
      <c r="CQ1" s="224">
        <f t="shared" ref="CQ1:DN1" si="0">AJ15</f>
        <v>0</v>
      </c>
      <c r="CR1" s="224">
        <f t="shared" si="0"/>
        <v>0</v>
      </c>
      <c r="CS1" s="224">
        <f t="shared" si="0"/>
        <v>0</v>
      </c>
      <c r="CT1" s="224">
        <f t="shared" si="0"/>
        <v>0</v>
      </c>
      <c r="CU1" s="224">
        <f t="shared" si="0"/>
        <v>0</v>
      </c>
      <c r="CV1" s="224">
        <f t="shared" si="0"/>
        <v>0</v>
      </c>
      <c r="CW1" s="224">
        <f t="shared" si="0"/>
        <v>0</v>
      </c>
      <c r="CX1" s="224">
        <f t="shared" si="0"/>
        <v>0</v>
      </c>
      <c r="CY1" s="224">
        <f t="shared" si="0"/>
        <v>0</v>
      </c>
      <c r="CZ1" s="224">
        <f t="shared" si="0"/>
        <v>0</v>
      </c>
      <c r="DA1" s="224">
        <f t="shared" si="0"/>
        <v>0</v>
      </c>
      <c r="DB1" s="224">
        <f t="shared" si="0"/>
        <v>213677</v>
      </c>
      <c r="DC1" s="224">
        <f t="shared" si="0"/>
        <v>212037</v>
      </c>
      <c r="DD1" s="224">
        <f t="shared" si="0"/>
        <v>211671</v>
      </c>
      <c r="DE1" s="224">
        <f t="shared" si="0"/>
        <v>211749</v>
      </c>
      <c r="DF1" s="224">
        <f t="shared" si="0"/>
        <v>210655</v>
      </c>
      <c r="DG1" s="224">
        <f t="shared" si="0"/>
        <v>213239</v>
      </c>
      <c r="DH1" s="224">
        <f t="shared" si="0"/>
        <v>213995</v>
      </c>
      <c r="DI1" s="224">
        <f t="shared" si="0"/>
        <v>212315</v>
      </c>
      <c r="DJ1" s="224">
        <f t="shared" si="0"/>
        <v>210760</v>
      </c>
      <c r="DK1" s="224">
        <f t="shared" si="0"/>
        <v>0</v>
      </c>
      <c r="DL1" s="224">
        <f t="shared" si="0"/>
        <v>0</v>
      </c>
      <c r="DM1" s="224">
        <f t="shared" si="0"/>
        <v>0</v>
      </c>
      <c r="DN1" s="224">
        <f t="shared" si="0"/>
        <v>0</v>
      </c>
      <c r="DO1" s="224"/>
      <c r="DP1" s="224"/>
      <c r="DQ1" s="224"/>
      <c r="DR1" s="224"/>
      <c r="DS1" s="224"/>
      <c r="DT1" s="224"/>
      <c r="DU1" s="224"/>
      <c r="DV1" s="224"/>
      <c r="DW1" s="224"/>
      <c r="DX1" s="224"/>
      <c r="DY1" s="224"/>
      <c r="DZ1" s="224"/>
      <c r="EA1" s="224"/>
      <c r="EB1" s="224"/>
      <c r="EC1" s="224"/>
      <c r="ED1" s="224"/>
      <c r="EE1" s="224"/>
      <c r="EF1" s="224"/>
    </row>
    <row r="2" spans="1:136" ht="15" customHeight="1" x14ac:dyDescent="0.1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416"/>
      <c r="AF2" s="416"/>
      <c r="AG2" s="416"/>
      <c r="AH2" s="42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1"/>
      <c r="CI2" s="12">
        <v>211749</v>
      </c>
      <c r="CJ2" s="13" t="s">
        <v>178</v>
      </c>
      <c r="CK2" s="13" t="s">
        <v>179</v>
      </c>
      <c r="CL2" s="13" t="s">
        <v>178</v>
      </c>
      <c r="CM2" s="13" t="s">
        <v>178</v>
      </c>
      <c r="CN2" s="226" cm="1">
        <f t="array" ref="CN2:CN44">TRANSPOSE(CP1:EF1)</f>
        <v>0</v>
      </c>
      <c r="CO2" s="226" cm="1">
        <f t="array" ref="CO2:CO44">TRANSPOSE(CP2:EF2)</f>
        <v>0</v>
      </c>
      <c r="CP2" s="224">
        <f>AI14</f>
        <v>0</v>
      </c>
      <c r="CQ2" s="224">
        <f t="shared" ref="CQ2:DN2" si="1">AJ14</f>
        <v>0</v>
      </c>
      <c r="CR2" s="224">
        <f t="shared" si="1"/>
        <v>0</v>
      </c>
      <c r="CS2" s="224">
        <f t="shared" si="1"/>
        <v>0</v>
      </c>
      <c r="CT2" s="224">
        <f t="shared" si="1"/>
        <v>0</v>
      </c>
      <c r="CU2" s="224">
        <f t="shared" si="1"/>
        <v>0</v>
      </c>
      <c r="CV2" s="224">
        <f t="shared" si="1"/>
        <v>0</v>
      </c>
      <c r="CW2" s="224">
        <f t="shared" si="1"/>
        <v>0</v>
      </c>
      <c r="CX2" s="224">
        <f t="shared" si="1"/>
        <v>0</v>
      </c>
      <c r="CY2" s="224">
        <f t="shared" si="1"/>
        <v>0</v>
      </c>
      <c r="CZ2" s="224">
        <f t="shared" si="1"/>
        <v>0</v>
      </c>
      <c r="DA2" s="224">
        <f t="shared" si="1"/>
        <v>0</v>
      </c>
      <c r="DB2" s="224">
        <f t="shared" si="1"/>
        <v>13932</v>
      </c>
      <c r="DC2" s="224">
        <f t="shared" si="1"/>
        <v>640</v>
      </c>
      <c r="DD2" s="224">
        <f t="shared" si="1"/>
        <v>2313</v>
      </c>
      <c r="DE2" s="224">
        <f t="shared" si="1"/>
        <v>2955</v>
      </c>
      <c r="DF2" s="224">
        <f t="shared" si="1"/>
        <v>1694</v>
      </c>
      <c r="DG2" s="224">
        <f t="shared" si="1"/>
        <v>371</v>
      </c>
      <c r="DH2" s="224">
        <f t="shared" si="1"/>
        <v>310</v>
      </c>
      <c r="DI2" s="224">
        <f t="shared" si="1"/>
        <v>140</v>
      </c>
      <c r="DJ2" s="224">
        <f t="shared" si="1"/>
        <v>165</v>
      </c>
      <c r="DK2" s="224">
        <f t="shared" si="1"/>
        <v>0</v>
      </c>
      <c r="DL2" s="224">
        <f t="shared" si="1"/>
        <v>0</v>
      </c>
      <c r="DM2" s="224">
        <f t="shared" si="1"/>
        <v>0</v>
      </c>
      <c r="DN2" s="224">
        <f t="shared" si="1"/>
        <v>0</v>
      </c>
      <c r="DO2" s="224"/>
      <c r="DP2" s="224"/>
      <c r="DQ2" s="224"/>
      <c r="DR2" s="224"/>
      <c r="DS2" s="224"/>
      <c r="DT2" s="224"/>
      <c r="DU2" s="224"/>
      <c r="DV2" s="224"/>
      <c r="DW2" s="224"/>
      <c r="DX2" s="224"/>
      <c r="DY2" s="224"/>
      <c r="DZ2" s="224"/>
      <c r="EA2" s="224"/>
      <c r="EB2" s="224"/>
      <c r="EC2" s="224"/>
      <c r="ED2" s="224"/>
      <c r="EE2" s="224"/>
      <c r="EF2" s="224"/>
    </row>
    <row r="3" spans="1:136" ht="15" customHeight="1" x14ac:dyDescent="0.1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4"/>
      <c r="AE3" s="416"/>
      <c r="AF3" s="416"/>
      <c r="AG3" s="416"/>
      <c r="AH3" s="420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1"/>
      <c r="CI3" s="16">
        <v>211747</v>
      </c>
      <c r="CJ3" s="17" t="s">
        <v>178</v>
      </c>
      <c r="CK3" s="17" t="s">
        <v>180</v>
      </c>
      <c r="CL3" s="17" t="s">
        <v>178</v>
      </c>
      <c r="CM3" s="17" t="s">
        <v>178</v>
      </c>
      <c r="CN3" s="226">
        <v>0</v>
      </c>
      <c r="CO3" s="226">
        <v>0</v>
      </c>
    </row>
    <row r="4" spans="1:136" ht="19.5" customHeight="1" x14ac:dyDescent="0.15">
      <c r="A4" s="384" t="s">
        <v>181</v>
      </c>
      <c r="B4" s="385"/>
      <c r="C4" s="385"/>
      <c r="D4" s="384" t="s">
        <v>182</v>
      </c>
      <c r="E4" s="385"/>
      <c r="F4" s="385"/>
      <c r="G4" s="385"/>
      <c r="H4" s="385"/>
      <c r="I4" s="385"/>
      <c r="J4" s="385"/>
      <c r="K4" s="389" t="s">
        <v>183</v>
      </c>
      <c r="L4" s="385"/>
      <c r="M4" s="385"/>
      <c r="N4" s="385"/>
      <c r="O4" s="385"/>
      <c r="P4" s="385"/>
      <c r="Q4" s="385"/>
      <c r="R4" s="385"/>
      <c r="S4" s="384" t="s">
        <v>184</v>
      </c>
      <c r="T4" s="385"/>
      <c r="U4" s="385"/>
      <c r="V4" s="391"/>
      <c r="W4" s="389" t="s">
        <v>185</v>
      </c>
      <c r="X4" s="415"/>
      <c r="Y4" s="415"/>
      <c r="Z4" s="415"/>
      <c r="AA4" s="415"/>
      <c r="AB4" s="415"/>
      <c r="AC4" s="415"/>
      <c r="AD4" s="9"/>
      <c r="AE4" s="416"/>
      <c r="AF4" s="416"/>
      <c r="AG4" s="416"/>
      <c r="AH4" s="420"/>
      <c r="AI4" s="415" t="s">
        <v>186</v>
      </c>
      <c r="AJ4" s="415"/>
      <c r="AK4" s="415"/>
      <c r="AL4" s="415"/>
      <c r="AM4" s="415"/>
      <c r="AN4" s="415"/>
      <c r="AO4" s="415"/>
      <c r="AP4" s="419"/>
      <c r="AQ4" s="389"/>
      <c r="AR4" s="415"/>
      <c r="AS4" s="415"/>
      <c r="AT4" s="415"/>
      <c r="AU4" s="18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20"/>
      <c r="BG4" s="21"/>
      <c r="BH4" s="22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4"/>
      <c r="CA4" s="23"/>
      <c r="CB4" s="23"/>
      <c r="CC4" s="23"/>
      <c r="CD4" s="23"/>
      <c r="CE4" s="23"/>
      <c r="CF4" s="23"/>
      <c r="CG4" s="23"/>
      <c r="CH4" s="11"/>
      <c r="CI4" s="16">
        <v>210656</v>
      </c>
      <c r="CJ4" s="17" t="s">
        <v>178</v>
      </c>
      <c r="CK4" s="17" t="s">
        <v>187</v>
      </c>
      <c r="CL4" s="17" t="s">
        <v>178</v>
      </c>
      <c r="CM4" s="17" t="s">
        <v>178</v>
      </c>
      <c r="CN4" s="226">
        <v>0</v>
      </c>
      <c r="CO4" s="226">
        <v>0</v>
      </c>
      <c r="CP4" s="224">
        <f>AI21</f>
        <v>0</v>
      </c>
      <c r="CQ4" s="224">
        <f t="shared" ref="CQ4:DN4" si="2">AJ21</f>
        <v>0</v>
      </c>
      <c r="CR4" s="224">
        <f t="shared" si="2"/>
        <v>0</v>
      </c>
      <c r="CS4" s="224">
        <f t="shared" si="2"/>
        <v>0</v>
      </c>
      <c r="CT4" s="224">
        <f t="shared" si="2"/>
        <v>0</v>
      </c>
      <c r="CU4" s="224">
        <f t="shared" si="2"/>
        <v>0</v>
      </c>
      <c r="CV4" s="224">
        <f t="shared" si="2"/>
        <v>0</v>
      </c>
      <c r="CW4" s="224">
        <f t="shared" si="2"/>
        <v>0</v>
      </c>
      <c r="CX4" s="224">
        <f t="shared" si="2"/>
        <v>0</v>
      </c>
      <c r="CY4" s="224">
        <f t="shared" si="2"/>
        <v>0</v>
      </c>
      <c r="CZ4" s="224">
        <f t="shared" si="2"/>
        <v>0</v>
      </c>
      <c r="DA4" s="224">
        <f t="shared" si="2"/>
        <v>0</v>
      </c>
      <c r="DB4" s="224">
        <f t="shared" si="2"/>
        <v>0</v>
      </c>
      <c r="DC4" s="224">
        <f t="shared" si="2"/>
        <v>0</v>
      </c>
      <c r="DD4" s="224">
        <f t="shared" si="2"/>
        <v>212037</v>
      </c>
      <c r="DE4" s="224">
        <f t="shared" si="2"/>
        <v>0</v>
      </c>
      <c r="DF4" s="224">
        <f t="shared" si="2"/>
        <v>207544</v>
      </c>
      <c r="DG4" s="224">
        <f t="shared" si="2"/>
        <v>210656</v>
      </c>
      <c r="DH4" s="224">
        <f t="shared" si="2"/>
        <v>0</v>
      </c>
      <c r="DI4" s="224">
        <f t="shared" si="2"/>
        <v>0</v>
      </c>
      <c r="DJ4" s="224">
        <f t="shared" si="2"/>
        <v>0</v>
      </c>
      <c r="DK4" s="224">
        <f t="shared" si="2"/>
        <v>0</v>
      </c>
      <c r="DL4" s="224">
        <f t="shared" si="2"/>
        <v>0</v>
      </c>
      <c r="DM4" s="224">
        <f t="shared" si="2"/>
        <v>0</v>
      </c>
      <c r="DN4" s="224">
        <f t="shared" si="2"/>
        <v>0</v>
      </c>
    </row>
    <row r="5" spans="1:136" ht="14.25" customHeight="1" x14ac:dyDescent="0.15">
      <c r="A5" s="386"/>
      <c r="B5" s="388"/>
      <c r="C5" s="388"/>
      <c r="D5" s="386"/>
      <c r="E5" s="387"/>
      <c r="F5" s="387"/>
      <c r="G5" s="387"/>
      <c r="H5" s="387"/>
      <c r="I5" s="387"/>
      <c r="J5" s="388"/>
      <c r="K5" s="386"/>
      <c r="L5" s="387"/>
      <c r="M5" s="387"/>
      <c r="N5" s="387"/>
      <c r="O5" s="387"/>
      <c r="P5" s="390"/>
      <c r="Q5" s="390"/>
      <c r="R5" s="390"/>
      <c r="S5" s="392"/>
      <c r="T5" s="393"/>
      <c r="U5" s="393"/>
      <c r="V5" s="394"/>
      <c r="W5" s="414"/>
      <c r="X5" s="416"/>
      <c r="Y5" s="416"/>
      <c r="Z5" s="416"/>
      <c r="AA5" s="416"/>
      <c r="AB5" s="416"/>
      <c r="AC5" s="416"/>
      <c r="AD5" s="25"/>
      <c r="AE5" s="416"/>
      <c r="AF5" s="416"/>
      <c r="AG5" s="416"/>
      <c r="AH5" s="420"/>
      <c r="AI5" s="415" t="s">
        <v>188</v>
      </c>
      <c r="AJ5" s="415"/>
      <c r="AK5" s="415"/>
      <c r="AL5" s="415"/>
      <c r="AM5" s="389" t="s">
        <v>189</v>
      </c>
      <c r="AN5" s="415"/>
      <c r="AO5" s="415"/>
      <c r="AP5" s="415"/>
      <c r="AQ5" s="389" t="s">
        <v>190</v>
      </c>
      <c r="AR5" s="415"/>
      <c r="AS5" s="415"/>
      <c r="AT5" s="415"/>
      <c r="AU5" s="414" t="s">
        <v>191</v>
      </c>
      <c r="AV5" s="416"/>
      <c r="AW5" s="416"/>
      <c r="AX5" s="416"/>
      <c r="AY5" s="416"/>
      <c r="AZ5" s="416"/>
      <c r="BA5" s="416"/>
      <c r="BB5" s="416"/>
      <c r="BC5" s="416"/>
      <c r="BD5" s="416"/>
      <c r="BE5" s="416"/>
      <c r="BF5" s="416"/>
      <c r="BG5" s="416"/>
      <c r="BH5" s="389" t="s">
        <v>192</v>
      </c>
      <c r="BI5" s="415"/>
      <c r="BJ5" s="415"/>
      <c r="BK5" s="415"/>
      <c r="BL5" s="415"/>
      <c r="BM5" s="415"/>
      <c r="BN5" s="415"/>
      <c r="BO5" s="415"/>
      <c r="BP5" s="415"/>
      <c r="BQ5" s="415"/>
      <c r="BR5" s="384" t="s">
        <v>193</v>
      </c>
      <c r="BS5" s="439"/>
      <c r="BT5" s="439"/>
      <c r="BU5" s="439"/>
      <c r="BV5" s="439"/>
      <c r="BW5" s="439"/>
      <c r="BX5" s="439"/>
      <c r="BY5" s="439"/>
      <c r="BZ5" s="414" t="s">
        <v>194</v>
      </c>
      <c r="CA5" s="415"/>
      <c r="CB5" s="415"/>
      <c r="CC5" s="415"/>
      <c r="CD5" s="415"/>
      <c r="CE5" s="415"/>
      <c r="CF5" s="415"/>
      <c r="CG5" s="415"/>
      <c r="CH5" s="11"/>
      <c r="CI5" s="16">
        <v>212037</v>
      </c>
      <c r="CJ5" s="17" t="s">
        <v>178</v>
      </c>
      <c r="CK5" s="17" t="s">
        <v>195</v>
      </c>
      <c r="CL5" s="17" t="s">
        <v>178</v>
      </c>
      <c r="CM5" s="17" t="s">
        <v>178</v>
      </c>
      <c r="CN5" s="226">
        <v>0</v>
      </c>
      <c r="CO5" s="226">
        <v>0</v>
      </c>
      <c r="CP5" s="6">
        <f>AI20</f>
        <v>0</v>
      </c>
      <c r="CQ5" s="6">
        <f t="shared" ref="CQ5:DN5" si="3">AJ20</f>
        <v>0</v>
      </c>
      <c r="CR5" s="6">
        <f t="shared" si="3"/>
        <v>0</v>
      </c>
      <c r="CS5" s="6">
        <f t="shared" si="3"/>
        <v>0</v>
      </c>
      <c r="CT5" s="6">
        <f t="shared" si="3"/>
        <v>0</v>
      </c>
      <c r="CU5" s="6">
        <f t="shared" si="3"/>
        <v>0</v>
      </c>
      <c r="CV5" s="6">
        <f t="shared" si="3"/>
        <v>0</v>
      </c>
      <c r="CW5" s="6">
        <f t="shared" si="3"/>
        <v>0</v>
      </c>
      <c r="CX5" s="6">
        <f t="shared" si="3"/>
        <v>0</v>
      </c>
      <c r="CY5" s="6">
        <f t="shared" si="3"/>
        <v>0</v>
      </c>
      <c r="CZ5" s="6">
        <f t="shared" si="3"/>
        <v>0</v>
      </c>
      <c r="DA5" s="6">
        <f t="shared" si="3"/>
        <v>0</v>
      </c>
      <c r="DB5" s="6">
        <f t="shared" si="3"/>
        <v>0</v>
      </c>
      <c r="DC5" s="6">
        <f t="shared" si="3"/>
        <v>0</v>
      </c>
      <c r="DD5" s="6">
        <f t="shared" si="3"/>
        <v>480</v>
      </c>
      <c r="DE5" s="6">
        <f t="shared" si="3"/>
        <v>0</v>
      </c>
      <c r="DF5" s="6">
        <f t="shared" si="3"/>
        <v>1690</v>
      </c>
      <c r="DG5" s="6">
        <f t="shared" si="3"/>
        <v>4918</v>
      </c>
      <c r="DH5" s="6">
        <f t="shared" si="3"/>
        <v>0</v>
      </c>
      <c r="DI5" s="6">
        <f t="shared" si="3"/>
        <v>0</v>
      </c>
      <c r="DJ5" s="6">
        <f t="shared" si="3"/>
        <v>0</v>
      </c>
      <c r="DK5" s="6">
        <f t="shared" si="3"/>
        <v>0</v>
      </c>
      <c r="DL5" s="6">
        <f t="shared" si="3"/>
        <v>0</v>
      </c>
      <c r="DM5" s="6">
        <f t="shared" si="3"/>
        <v>0</v>
      </c>
      <c r="DN5" s="6">
        <f t="shared" si="3"/>
        <v>0</v>
      </c>
    </row>
    <row r="6" spans="1:136" ht="13.5" customHeight="1" x14ac:dyDescent="0.15">
      <c r="A6" s="389" t="s">
        <v>196</v>
      </c>
      <c r="B6" s="385"/>
      <c r="C6" s="385"/>
      <c r="D6" s="425" t="s">
        <v>197</v>
      </c>
      <c r="E6" s="426"/>
      <c r="F6" s="426"/>
      <c r="G6" s="426"/>
      <c r="H6" s="426"/>
      <c r="I6" s="426"/>
      <c r="J6" s="426"/>
      <c r="K6" s="426"/>
      <c r="L6" s="426"/>
      <c r="M6" s="426"/>
      <c r="N6" s="426"/>
      <c r="O6" s="427"/>
      <c r="P6" s="389" t="s">
        <v>198</v>
      </c>
      <c r="Q6" s="385"/>
      <c r="R6" s="385"/>
      <c r="S6" s="385"/>
      <c r="T6" s="385"/>
      <c r="U6" s="385"/>
      <c r="V6" s="391"/>
      <c r="W6" s="414"/>
      <c r="X6" s="416"/>
      <c r="Y6" s="416"/>
      <c r="Z6" s="416"/>
      <c r="AA6" s="416"/>
      <c r="AB6" s="416"/>
      <c r="AC6" s="416"/>
      <c r="AD6" s="9"/>
      <c r="AE6" s="416"/>
      <c r="AF6" s="416"/>
      <c r="AG6" s="416"/>
      <c r="AH6" s="420"/>
      <c r="AI6" s="416"/>
      <c r="AJ6" s="416"/>
      <c r="AK6" s="416"/>
      <c r="AL6" s="416"/>
      <c r="AM6" s="414"/>
      <c r="AN6" s="416"/>
      <c r="AO6" s="416"/>
      <c r="AP6" s="416"/>
      <c r="AQ6" s="414"/>
      <c r="AR6" s="416"/>
      <c r="AS6" s="416"/>
      <c r="AT6" s="416"/>
      <c r="AU6" s="414"/>
      <c r="AV6" s="416"/>
      <c r="AW6" s="416"/>
      <c r="AX6" s="416"/>
      <c r="AY6" s="416"/>
      <c r="AZ6" s="416"/>
      <c r="BA6" s="416"/>
      <c r="BB6" s="416"/>
      <c r="BC6" s="416"/>
      <c r="BD6" s="416"/>
      <c r="BE6" s="416"/>
      <c r="BF6" s="416"/>
      <c r="BG6" s="416"/>
      <c r="BH6" s="414"/>
      <c r="BI6" s="416"/>
      <c r="BJ6" s="416"/>
      <c r="BK6" s="416"/>
      <c r="BL6" s="416"/>
      <c r="BM6" s="416"/>
      <c r="BN6" s="416"/>
      <c r="BO6" s="416"/>
      <c r="BP6" s="416"/>
      <c r="BQ6" s="416"/>
      <c r="BR6" s="440"/>
      <c r="BS6" s="441"/>
      <c r="BT6" s="441"/>
      <c r="BU6" s="441"/>
      <c r="BV6" s="441"/>
      <c r="BW6" s="441"/>
      <c r="BX6" s="441"/>
      <c r="BY6" s="441"/>
      <c r="BZ6" s="414"/>
      <c r="CA6" s="416"/>
      <c r="CB6" s="416"/>
      <c r="CC6" s="416"/>
      <c r="CD6" s="416"/>
      <c r="CE6" s="416"/>
      <c r="CF6" s="416"/>
      <c r="CG6" s="416"/>
      <c r="CH6" s="11"/>
      <c r="CI6" s="16">
        <v>212357</v>
      </c>
      <c r="CJ6" s="17" t="s">
        <v>178</v>
      </c>
      <c r="CK6" s="17" t="s">
        <v>199</v>
      </c>
      <c r="CL6" s="17" t="s">
        <v>178</v>
      </c>
      <c r="CM6" s="17" t="s">
        <v>178</v>
      </c>
      <c r="CN6" s="226">
        <v>0</v>
      </c>
      <c r="CO6" s="226">
        <v>0</v>
      </c>
    </row>
    <row r="7" spans="1:136" ht="14.25" customHeight="1" x14ac:dyDescent="0.15">
      <c r="A7" s="386"/>
      <c r="B7" s="387"/>
      <c r="C7" s="387"/>
      <c r="D7" s="428"/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30"/>
      <c r="P7" s="386"/>
      <c r="Q7" s="388"/>
      <c r="R7" s="388"/>
      <c r="S7" s="388"/>
      <c r="T7" s="388"/>
      <c r="U7" s="388"/>
      <c r="V7" s="431"/>
      <c r="W7" s="417"/>
      <c r="X7" s="418"/>
      <c r="Y7" s="418"/>
      <c r="Z7" s="418"/>
      <c r="AA7" s="418"/>
      <c r="AB7" s="418"/>
      <c r="AC7" s="418"/>
      <c r="AD7" s="25"/>
      <c r="AE7" s="418"/>
      <c r="AF7" s="418"/>
      <c r="AG7" s="418"/>
      <c r="AH7" s="421"/>
      <c r="AI7" s="418"/>
      <c r="AJ7" s="418"/>
      <c r="AK7" s="418"/>
      <c r="AL7" s="418"/>
      <c r="AM7" s="417"/>
      <c r="AN7" s="418"/>
      <c r="AO7" s="418"/>
      <c r="AP7" s="418"/>
      <c r="AQ7" s="417"/>
      <c r="AR7" s="418"/>
      <c r="AS7" s="418"/>
      <c r="AT7" s="418"/>
      <c r="AU7" s="417"/>
      <c r="AV7" s="418"/>
      <c r="AW7" s="418"/>
      <c r="AX7" s="418"/>
      <c r="AY7" s="418"/>
      <c r="AZ7" s="418"/>
      <c r="BA7" s="418"/>
      <c r="BB7" s="418"/>
      <c r="BC7" s="418"/>
      <c r="BD7" s="418"/>
      <c r="BE7" s="418"/>
      <c r="BF7" s="418"/>
      <c r="BG7" s="418"/>
      <c r="BH7" s="417"/>
      <c r="BI7" s="418"/>
      <c r="BJ7" s="418"/>
      <c r="BK7" s="418"/>
      <c r="BL7" s="418"/>
      <c r="BM7" s="418"/>
      <c r="BN7" s="418"/>
      <c r="BO7" s="418"/>
      <c r="BP7" s="418"/>
      <c r="BQ7" s="418"/>
      <c r="BR7" s="442"/>
      <c r="BS7" s="443"/>
      <c r="BT7" s="443"/>
      <c r="BU7" s="443"/>
      <c r="BV7" s="443"/>
      <c r="BW7" s="443"/>
      <c r="BX7" s="443"/>
      <c r="BY7" s="443"/>
      <c r="BZ7" s="417"/>
      <c r="CA7" s="418"/>
      <c r="CB7" s="418"/>
      <c r="CC7" s="418"/>
      <c r="CD7" s="418"/>
      <c r="CE7" s="418"/>
      <c r="CF7" s="418"/>
      <c r="CG7" s="418"/>
      <c r="CH7" s="11"/>
      <c r="CI7" s="16">
        <v>210654</v>
      </c>
      <c r="CJ7" s="17" t="s">
        <v>178</v>
      </c>
      <c r="CK7" s="17" t="s">
        <v>200</v>
      </c>
      <c r="CL7" s="17" t="s">
        <v>178</v>
      </c>
      <c r="CM7" s="17" t="s">
        <v>178</v>
      </c>
      <c r="CN7" s="226">
        <v>0</v>
      </c>
      <c r="CO7" s="226">
        <v>0</v>
      </c>
      <c r="CP7" s="224">
        <f>BJ19</f>
        <v>0</v>
      </c>
      <c r="CQ7" s="224">
        <f t="shared" ref="CQ7:CT7" si="4">BK19</f>
        <v>213732</v>
      </c>
      <c r="CR7" s="224">
        <f t="shared" si="4"/>
        <v>213637</v>
      </c>
      <c r="CS7" s="224">
        <f t="shared" si="4"/>
        <v>213868</v>
      </c>
      <c r="CT7" s="224">
        <f t="shared" si="4"/>
        <v>211691</v>
      </c>
    </row>
    <row r="8" spans="1:136" ht="13.5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7"/>
      <c r="AD8" s="28"/>
      <c r="AE8" s="183"/>
      <c r="AF8" s="29"/>
      <c r="AG8" s="29"/>
      <c r="AH8" s="29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29"/>
      <c r="CA8" s="29"/>
      <c r="CB8" s="29"/>
      <c r="CC8" s="29"/>
      <c r="CD8" s="29"/>
      <c r="CE8" s="29"/>
      <c r="CF8" s="29"/>
      <c r="CG8" s="31"/>
      <c r="CH8" s="11"/>
      <c r="CI8" s="16">
        <v>210655</v>
      </c>
      <c r="CJ8" s="17" t="s">
        <v>178</v>
      </c>
      <c r="CK8" s="17" t="s">
        <v>201</v>
      </c>
      <c r="CL8" s="17" t="s">
        <v>178</v>
      </c>
      <c r="CM8" s="17" t="s">
        <v>178</v>
      </c>
      <c r="CN8" s="226">
        <v>0</v>
      </c>
      <c r="CO8" s="226">
        <v>0</v>
      </c>
      <c r="CP8" s="224">
        <f>BJ18</f>
        <v>0</v>
      </c>
      <c r="CQ8" s="224">
        <f t="shared" ref="CQ8:CT8" si="5">BK18</f>
        <v>743</v>
      </c>
      <c r="CR8" s="224">
        <f t="shared" si="5"/>
        <v>974</v>
      </c>
      <c r="CS8" s="224">
        <f t="shared" si="5"/>
        <v>400</v>
      </c>
      <c r="CT8" s="224">
        <f t="shared" si="5"/>
        <v>1847</v>
      </c>
    </row>
    <row r="9" spans="1:136" ht="15" customHeight="1" x14ac:dyDescent="0.15">
      <c r="A9" s="32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9"/>
      <c r="AD9" s="34"/>
      <c r="AE9" s="33"/>
      <c r="AF9" s="35"/>
      <c r="AG9" s="35"/>
      <c r="AH9" s="35"/>
      <c r="AI9" s="36">
        <v>1</v>
      </c>
      <c r="AJ9" s="36">
        <v>2</v>
      </c>
      <c r="AK9" s="36">
        <v>3</v>
      </c>
      <c r="AL9" s="36">
        <v>4</v>
      </c>
      <c r="AM9" s="36">
        <v>5</v>
      </c>
      <c r="AN9" s="36">
        <v>6</v>
      </c>
      <c r="AO9" s="36">
        <v>7</v>
      </c>
      <c r="AP9" s="36">
        <v>8</v>
      </c>
      <c r="AQ9" s="36">
        <v>9</v>
      </c>
      <c r="AR9" s="36">
        <v>10</v>
      </c>
      <c r="AS9" s="36">
        <v>11</v>
      </c>
      <c r="AT9" s="36">
        <v>12</v>
      </c>
      <c r="AU9" s="36">
        <v>13</v>
      </c>
      <c r="AV9" s="36">
        <v>14</v>
      </c>
      <c r="AW9" s="36">
        <v>15</v>
      </c>
      <c r="AX9" s="36">
        <v>16</v>
      </c>
      <c r="AY9" s="36">
        <v>17</v>
      </c>
      <c r="AZ9" s="36">
        <v>18</v>
      </c>
      <c r="BA9" s="36">
        <v>19</v>
      </c>
      <c r="BB9" s="36">
        <v>20</v>
      </c>
      <c r="BC9" s="36">
        <v>21</v>
      </c>
      <c r="BD9" s="35"/>
      <c r="BE9" s="36">
        <v>22</v>
      </c>
      <c r="BF9" s="36">
        <v>23</v>
      </c>
      <c r="BG9" s="36">
        <v>24</v>
      </c>
      <c r="BH9" s="35"/>
      <c r="BI9" s="35"/>
      <c r="BJ9" s="36">
        <v>25</v>
      </c>
      <c r="BK9" s="36">
        <v>26</v>
      </c>
      <c r="BL9" s="36">
        <v>27</v>
      </c>
      <c r="BM9" s="36">
        <v>28</v>
      </c>
      <c r="BN9" s="36">
        <v>29</v>
      </c>
      <c r="BO9" s="37"/>
      <c r="BP9" s="37"/>
      <c r="BQ9" s="37"/>
      <c r="BR9" s="37"/>
      <c r="BS9" s="38"/>
      <c r="BT9" s="38"/>
      <c r="BU9" s="36">
        <v>32</v>
      </c>
      <c r="BV9" s="36">
        <v>33</v>
      </c>
      <c r="BW9" s="36">
        <v>34</v>
      </c>
      <c r="BX9" s="36">
        <v>35</v>
      </c>
      <c r="BY9" s="36">
        <v>36</v>
      </c>
      <c r="BZ9" s="39"/>
      <c r="CA9" s="39"/>
      <c r="CB9" s="39"/>
      <c r="CC9" s="39"/>
      <c r="CD9" s="39"/>
      <c r="CE9" s="40"/>
      <c r="CF9" s="41"/>
      <c r="CG9" s="432" t="s">
        <v>202</v>
      </c>
      <c r="CI9" s="16">
        <v>211671</v>
      </c>
      <c r="CJ9" s="17" t="s">
        <v>178</v>
      </c>
      <c r="CK9" s="17" t="s">
        <v>203</v>
      </c>
      <c r="CL9" s="17" t="s">
        <v>178</v>
      </c>
      <c r="CM9" s="17" t="s">
        <v>178</v>
      </c>
      <c r="CN9" s="226">
        <v>0</v>
      </c>
      <c r="CO9" s="226">
        <v>0</v>
      </c>
    </row>
    <row r="10" spans="1:136" ht="13.5" customHeight="1" x14ac:dyDescent="0.2">
      <c r="A10" s="39"/>
      <c r="B10" s="33"/>
      <c r="C10" s="35"/>
      <c r="D10" s="35"/>
      <c r="E10" s="35"/>
      <c r="F10" s="35"/>
      <c r="G10" s="33"/>
      <c r="H10" s="35"/>
      <c r="I10" s="35"/>
      <c r="J10" s="23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25"/>
      <c r="AD10" s="22"/>
      <c r="AE10" s="35"/>
      <c r="AF10" s="35"/>
      <c r="AG10" s="35"/>
      <c r="AH10" s="35"/>
      <c r="AI10" s="43"/>
      <c r="AJ10" s="43"/>
      <c r="AK10" s="43"/>
      <c r="AL10" s="43"/>
      <c r="AM10" s="43"/>
      <c r="AN10" s="43"/>
      <c r="AO10" s="43"/>
      <c r="AP10" s="43"/>
      <c r="AQ10" s="43"/>
      <c r="AR10" s="99">
        <f>+AQ15</f>
        <v>0</v>
      </c>
      <c r="AS10" s="43"/>
      <c r="AT10" s="43"/>
      <c r="AU10" s="43">
        <f>9*1548</f>
        <v>13932</v>
      </c>
      <c r="AV10" s="43">
        <v>640</v>
      </c>
      <c r="AW10" s="43">
        <v>2313</v>
      </c>
      <c r="AX10" s="43">
        <f>1655+1300</f>
        <v>2955</v>
      </c>
      <c r="AY10" s="43">
        <v>1694</v>
      </c>
      <c r="AZ10" s="43">
        <v>371</v>
      </c>
      <c r="BA10" s="43">
        <v>310</v>
      </c>
      <c r="BB10" s="43"/>
      <c r="BC10" s="43"/>
      <c r="BD10" s="33"/>
      <c r="BE10" s="43"/>
      <c r="BF10" s="43"/>
      <c r="BG10" s="43"/>
      <c r="BH10" s="35"/>
      <c r="BI10" s="35"/>
      <c r="BJ10" s="43"/>
      <c r="BK10" s="43">
        <v>743</v>
      </c>
      <c r="BL10" s="43">
        <v>974</v>
      </c>
      <c r="BM10" s="43">
        <v>400</v>
      </c>
      <c r="BN10" s="43"/>
      <c r="BO10" s="251"/>
      <c r="BP10" s="33"/>
      <c r="BQ10" s="513" t="s">
        <v>204</v>
      </c>
      <c r="BR10" s="514"/>
      <c r="BS10" s="33"/>
      <c r="BT10" s="33"/>
      <c r="BU10" s="43">
        <f>550</f>
        <v>550</v>
      </c>
      <c r="BV10" s="43"/>
      <c r="BW10" s="43"/>
      <c r="BX10" s="43">
        <f>1688+1660+1639</f>
        <v>4987</v>
      </c>
      <c r="BY10" s="43"/>
      <c r="BZ10" s="39"/>
      <c r="CA10" s="39"/>
      <c r="CB10" s="433" t="s">
        <v>205</v>
      </c>
      <c r="CC10" s="391"/>
      <c r="CD10" s="39"/>
      <c r="CE10" s="47"/>
      <c r="CF10" s="41"/>
      <c r="CG10" s="432"/>
      <c r="CI10" s="16">
        <v>213677</v>
      </c>
      <c r="CJ10" s="17" t="s">
        <v>178</v>
      </c>
      <c r="CK10" s="17" t="s">
        <v>206</v>
      </c>
      <c r="CL10" s="17" t="s">
        <v>178</v>
      </c>
      <c r="CM10" s="17" t="s">
        <v>178</v>
      </c>
      <c r="CN10" s="226">
        <v>0</v>
      </c>
      <c r="CO10" s="226">
        <v>0</v>
      </c>
      <c r="CP10" s="224">
        <f>BJ25</f>
        <v>0</v>
      </c>
      <c r="CQ10" s="224">
        <f t="shared" ref="CQ10:CT10" si="6">BK25</f>
        <v>0</v>
      </c>
      <c r="CR10" s="224">
        <f t="shared" si="6"/>
        <v>0</v>
      </c>
      <c r="CS10" s="224">
        <f t="shared" si="6"/>
        <v>0</v>
      </c>
      <c r="CT10" s="224">
        <f t="shared" si="6"/>
        <v>0</v>
      </c>
    </row>
    <row r="11" spans="1:136" ht="13.5" customHeight="1" x14ac:dyDescent="0.2">
      <c r="A11" s="39"/>
      <c r="B11" s="49">
        <v>3</v>
      </c>
      <c r="C11" s="49">
        <v>3</v>
      </c>
      <c r="D11" s="108"/>
      <c r="E11" s="254" t="s">
        <v>207</v>
      </c>
      <c r="F11" s="255">
        <f>SUM(BR13:BR18)</f>
        <v>110</v>
      </c>
      <c r="G11" s="108"/>
      <c r="H11" s="35"/>
      <c r="I11" s="35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9"/>
      <c r="AD11" s="22"/>
      <c r="AE11" s="42"/>
      <c r="AF11" s="42"/>
      <c r="AG11" s="42"/>
      <c r="AH11" s="35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>
        <v>140</v>
      </c>
      <c r="BC11" s="43"/>
      <c r="BD11" s="33"/>
      <c r="BE11" s="43"/>
      <c r="BF11" s="43"/>
      <c r="BG11" s="43"/>
      <c r="BH11" s="35"/>
      <c r="BI11" s="35"/>
      <c r="BJ11" s="43"/>
      <c r="BK11" s="43"/>
      <c r="BL11" s="43"/>
      <c r="BM11" s="43"/>
      <c r="BN11" s="43">
        <v>1306</v>
      </c>
      <c r="BO11" s="251"/>
      <c r="BP11" s="33"/>
      <c r="BQ11" s="511"/>
      <c r="BR11" s="512"/>
      <c r="BS11" s="33"/>
      <c r="BT11" s="33"/>
      <c r="BU11" s="43"/>
      <c r="BV11" s="43"/>
      <c r="BW11" s="43"/>
      <c r="BX11" s="43">
        <f>1670+1656+1681</f>
        <v>5007</v>
      </c>
      <c r="BY11" s="43"/>
      <c r="BZ11" s="39"/>
      <c r="CA11" s="39"/>
      <c r="CB11" s="392"/>
      <c r="CC11" s="394"/>
      <c r="CD11" s="39"/>
      <c r="CE11" s="40"/>
      <c r="CF11" s="41"/>
      <c r="CG11" s="432"/>
      <c r="CI11" s="16">
        <v>206454</v>
      </c>
      <c r="CJ11" s="17" t="s">
        <v>178</v>
      </c>
      <c r="CK11" s="17" t="s">
        <v>208</v>
      </c>
      <c r="CL11" s="17" t="s">
        <v>178</v>
      </c>
      <c r="CM11" s="17" t="s">
        <v>178</v>
      </c>
      <c r="CN11" s="226">
        <v>0</v>
      </c>
      <c r="CO11" s="226">
        <v>0</v>
      </c>
      <c r="CP11" s="224">
        <f>BJ24</f>
        <v>0</v>
      </c>
      <c r="CQ11" s="224">
        <f t="shared" ref="CQ11:CT11" si="7">BK24</f>
        <v>0</v>
      </c>
      <c r="CR11" s="224">
        <f t="shared" si="7"/>
        <v>0</v>
      </c>
      <c r="CS11" s="224">
        <f t="shared" si="7"/>
        <v>0</v>
      </c>
      <c r="CT11" s="224">
        <f t="shared" si="7"/>
        <v>0</v>
      </c>
    </row>
    <row r="12" spans="1:136" ht="13.5" customHeight="1" x14ac:dyDescent="0.2">
      <c r="A12" s="39"/>
      <c r="B12" s="49">
        <v>2</v>
      </c>
      <c r="C12" s="49">
        <v>3</v>
      </c>
      <c r="D12" s="108"/>
      <c r="E12" s="108"/>
      <c r="F12" s="108"/>
      <c r="G12" s="108"/>
      <c r="H12" s="35"/>
      <c r="I12" s="434" t="s">
        <v>209</v>
      </c>
      <c r="J12" s="435"/>
      <c r="K12" s="435"/>
      <c r="L12" s="435"/>
      <c r="M12" s="435"/>
      <c r="N12" s="435"/>
      <c r="O12" s="435"/>
      <c r="P12" s="436"/>
      <c r="Q12" s="42"/>
      <c r="R12" s="422" t="s">
        <v>210</v>
      </c>
      <c r="S12" s="422"/>
      <c r="T12" s="422"/>
      <c r="U12" s="422"/>
      <c r="V12" s="422"/>
      <c r="W12" s="422" t="s">
        <v>211</v>
      </c>
      <c r="X12" s="422"/>
      <c r="Y12" s="422"/>
      <c r="Z12" s="422"/>
      <c r="AA12" s="422"/>
      <c r="AB12" s="42"/>
      <c r="AC12" s="14"/>
      <c r="AD12" s="22"/>
      <c r="AE12" s="42"/>
      <c r="AF12" s="42"/>
      <c r="AG12" s="42"/>
      <c r="AH12" s="35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>
        <f>165</f>
        <v>165</v>
      </c>
      <c r="BD12" s="33"/>
      <c r="BE12" s="43"/>
      <c r="BF12" s="43"/>
      <c r="BG12" s="43"/>
      <c r="BH12" s="35"/>
      <c r="BI12" s="35"/>
      <c r="BJ12" s="43"/>
      <c r="BK12" s="43"/>
      <c r="BL12" s="43"/>
      <c r="BM12" s="43"/>
      <c r="BN12" s="43">
        <v>541</v>
      </c>
      <c r="BO12" s="251"/>
      <c r="BP12" s="33"/>
      <c r="BQ12" s="247"/>
      <c r="BR12" s="248"/>
      <c r="BS12" s="33"/>
      <c r="BT12" s="33"/>
      <c r="BU12" s="43"/>
      <c r="BV12" s="43"/>
      <c r="BW12" s="43"/>
      <c r="BX12" s="43">
        <f>1672+1642+1691</f>
        <v>5005</v>
      </c>
      <c r="BY12" s="43"/>
      <c r="BZ12" s="39"/>
      <c r="CA12" s="39"/>
      <c r="CB12" s="392"/>
      <c r="CC12" s="394"/>
      <c r="CD12" s="39"/>
      <c r="CE12" s="47"/>
      <c r="CF12" s="41"/>
      <c r="CG12" s="432"/>
      <c r="CI12" s="16">
        <v>211746</v>
      </c>
      <c r="CJ12" s="17" t="s">
        <v>178</v>
      </c>
      <c r="CK12" s="17" t="s">
        <v>212</v>
      </c>
      <c r="CL12" s="17" t="s">
        <v>178</v>
      </c>
      <c r="CM12" s="17" t="s">
        <v>178</v>
      </c>
      <c r="CN12" s="226">
        <v>0</v>
      </c>
      <c r="CO12" s="226">
        <v>0</v>
      </c>
    </row>
    <row r="13" spans="1:136" ht="13.5" customHeight="1" x14ac:dyDescent="0.2">
      <c r="A13" s="39"/>
      <c r="B13" s="184">
        <v>3</v>
      </c>
      <c r="C13" s="49">
        <v>3</v>
      </c>
      <c r="D13" s="108"/>
      <c r="E13" s="108"/>
      <c r="F13" s="108"/>
      <c r="G13" s="108"/>
      <c r="H13" s="35"/>
      <c r="I13" s="49">
        <v>5</v>
      </c>
      <c r="J13" s="49">
        <v>1</v>
      </c>
      <c r="K13" s="49">
        <v>1</v>
      </c>
      <c r="L13" s="49">
        <v>1</v>
      </c>
      <c r="M13" s="49">
        <v>1</v>
      </c>
      <c r="N13" s="49">
        <v>1</v>
      </c>
      <c r="O13" s="49">
        <v>1</v>
      </c>
      <c r="P13" s="49">
        <v>1</v>
      </c>
      <c r="Q13" s="42"/>
      <c r="R13" s="422"/>
      <c r="S13" s="422"/>
      <c r="T13" s="422"/>
      <c r="U13" s="422"/>
      <c r="V13" s="422"/>
      <c r="W13" s="422"/>
      <c r="X13" s="422"/>
      <c r="Y13" s="422"/>
      <c r="Z13" s="422"/>
      <c r="AA13" s="422"/>
      <c r="AB13" s="42"/>
      <c r="AC13" s="9"/>
      <c r="AD13" s="22"/>
      <c r="AE13" s="42"/>
      <c r="AF13" s="42"/>
      <c r="AG13" s="42"/>
      <c r="AH13" s="35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33"/>
      <c r="BE13" s="43"/>
      <c r="BF13" s="43"/>
      <c r="BG13" s="43"/>
      <c r="BH13" s="35"/>
      <c r="BI13" s="35"/>
      <c r="BJ13" s="43"/>
      <c r="BK13" s="43"/>
      <c r="BL13" s="43"/>
      <c r="BM13" s="43"/>
      <c r="BN13" s="43"/>
      <c r="BO13" s="251"/>
      <c r="BP13" s="33"/>
      <c r="BQ13" s="252" t="s">
        <v>213</v>
      </c>
      <c r="BR13" s="253">
        <v>15</v>
      </c>
      <c r="BS13" s="33"/>
      <c r="BT13" s="33"/>
      <c r="BU13" s="43"/>
      <c r="BV13" s="43"/>
      <c r="BW13" s="43"/>
      <c r="BX13" s="43">
        <v>1663</v>
      </c>
      <c r="BY13" s="43"/>
      <c r="BZ13" s="39"/>
      <c r="CA13" s="39"/>
      <c r="CB13" s="392"/>
      <c r="CC13" s="394"/>
      <c r="CD13" s="39"/>
      <c r="CE13" s="40"/>
      <c r="CF13" s="41"/>
      <c r="CG13" s="432"/>
      <c r="CI13" s="16">
        <v>207530</v>
      </c>
      <c r="CJ13" s="17" t="s">
        <v>178</v>
      </c>
      <c r="CK13" s="17" t="s">
        <v>214</v>
      </c>
      <c r="CL13" s="17" t="s">
        <v>178</v>
      </c>
      <c r="CM13" s="17" t="s">
        <v>178</v>
      </c>
      <c r="CN13" s="226">
        <v>0</v>
      </c>
      <c r="CO13" s="226">
        <v>0</v>
      </c>
      <c r="CP13" s="224">
        <f>BU19</f>
        <v>210655</v>
      </c>
      <c r="CQ13" s="224">
        <f>BV19</f>
        <v>0</v>
      </c>
      <c r="CR13" s="224">
        <f>BW19</f>
        <v>0</v>
      </c>
      <c r="CS13" s="224">
        <f>BX19</f>
        <v>213677</v>
      </c>
      <c r="CT13" s="224">
        <f>BY19</f>
        <v>0</v>
      </c>
      <c r="CU13" s="224"/>
      <c r="CV13" s="224"/>
      <c r="CW13" s="224"/>
    </row>
    <row r="14" spans="1:136" ht="14.25" customHeight="1" x14ac:dyDescent="0.2">
      <c r="A14" s="39"/>
      <c r="B14" s="184">
        <v>1</v>
      </c>
      <c r="C14" s="49">
        <v>3</v>
      </c>
      <c r="D14" s="108"/>
      <c r="E14" s="108"/>
      <c r="F14" s="108"/>
      <c r="G14" s="108"/>
      <c r="H14" s="116"/>
      <c r="I14" s="35"/>
      <c r="J14" s="35"/>
      <c r="K14" s="42"/>
      <c r="L14" s="42"/>
      <c r="M14" s="42"/>
      <c r="N14" s="42"/>
      <c r="O14" s="42"/>
      <c r="P14" s="42"/>
      <c r="Q14" s="42"/>
      <c r="R14" s="218" t="s">
        <v>176</v>
      </c>
      <c r="S14" s="218" t="s">
        <v>215</v>
      </c>
      <c r="T14" s="218" t="s">
        <v>216</v>
      </c>
      <c r="U14" s="218" t="s">
        <v>217</v>
      </c>
      <c r="V14" s="218" t="s">
        <v>218</v>
      </c>
      <c r="W14" s="218" t="s">
        <v>176</v>
      </c>
      <c r="X14" s="218" t="s">
        <v>215</v>
      </c>
      <c r="Y14" s="218" t="s">
        <v>216</v>
      </c>
      <c r="Z14" s="218" t="s">
        <v>217</v>
      </c>
      <c r="AA14" s="218" t="s">
        <v>218</v>
      </c>
      <c r="AB14" s="35"/>
      <c r="AC14" s="25"/>
      <c r="AD14" s="22"/>
      <c r="AE14" s="35"/>
      <c r="AF14" s="42"/>
      <c r="AG14" s="42"/>
      <c r="AH14" s="35"/>
      <c r="AI14" s="50">
        <f>SUM(AI10:AI13)</f>
        <v>0</v>
      </c>
      <c r="AJ14" s="50">
        <f>SUM(AJ10:AJ13)</f>
        <v>0</v>
      </c>
      <c r="AK14" s="50">
        <f>SUM(AK10:AK13)</f>
        <v>0</v>
      </c>
      <c r="AL14" s="50">
        <f t="shared" ref="AL14:BG14" si="8">SUM(AL10:AL13)</f>
        <v>0</v>
      </c>
      <c r="AM14" s="50">
        <f t="shared" si="8"/>
        <v>0</v>
      </c>
      <c r="AN14" s="50">
        <f t="shared" ref="AN14" si="9">SUM(AN10:AN13)</f>
        <v>0</v>
      </c>
      <c r="AO14" s="50">
        <f t="shared" si="8"/>
        <v>0</v>
      </c>
      <c r="AP14" s="50">
        <f t="shared" si="8"/>
        <v>0</v>
      </c>
      <c r="AQ14" s="50">
        <f t="shared" si="8"/>
        <v>0</v>
      </c>
      <c r="AR14" s="50">
        <f t="shared" si="8"/>
        <v>0</v>
      </c>
      <c r="AS14" s="50">
        <f t="shared" si="8"/>
        <v>0</v>
      </c>
      <c r="AT14" s="50">
        <f t="shared" si="8"/>
        <v>0</v>
      </c>
      <c r="AU14" s="50">
        <f t="shared" si="8"/>
        <v>13932</v>
      </c>
      <c r="AV14" s="50">
        <f t="shared" si="8"/>
        <v>640</v>
      </c>
      <c r="AW14" s="50">
        <f t="shared" si="8"/>
        <v>2313</v>
      </c>
      <c r="AX14" s="50">
        <f t="shared" si="8"/>
        <v>2955</v>
      </c>
      <c r="AY14" s="50">
        <f t="shared" si="8"/>
        <v>1694</v>
      </c>
      <c r="AZ14" s="50">
        <f>SUM(AZ10:AZ13)</f>
        <v>371</v>
      </c>
      <c r="BA14" s="50">
        <f>SUM(BA10:BA13)</f>
        <v>310</v>
      </c>
      <c r="BB14" s="50">
        <f t="shared" si="8"/>
        <v>140</v>
      </c>
      <c r="BC14" s="50">
        <f t="shared" si="8"/>
        <v>165</v>
      </c>
      <c r="BD14" s="33"/>
      <c r="BE14" s="50">
        <f t="shared" si="8"/>
        <v>0</v>
      </c>
      <c r="BF14" s="50">
        <f t="shared" si="8"/>
        <v>0</v>
      </c>
      <c r="BG14" s="50">
        <f t="shared" si="8"/>
        <v>0</v>
      </c>
      <c r="BH14" s="35"/>
      <c r="BI14" s="35"/>
      <c r="BJ14" s="43"/>
      <c r="BK14" s="43"/>
      <c r="BL14" s="43"/>
      <c r="BM14" s="43"/>
      <c r="BN14" s="43"/>
      <c r="BO14" s="251"/>
      <c r="BP14" s="33"/>
      <c r="BQ14" s="252" t="s">
        <v>219</v>
      </c>
      <c r="BR14" s="253">
        <v>20</v>
      </c>
      <c r="BS14" s="33"/>
      <c r="BT14" s="33"/>
      <c r="BU14" s="43"/>
      <c r="BV14" s="43"/>
      <c r="BW14" s="43"/>
      <c r="BX14" s="43"/>
      <c r="BY14" s="43"/>
      <c r="BZ14" s="39"/>
      <c r="CA14" s="39"/>
      <c r="CB14" s="392"/>
      <c r="CC14" s="394"/>
      <c r="CD14" s="39"/>
      <c r="CE14" s="47"/>
      <c r="CF14" s="41"/>
      <c r="CG14" s="432"/>
      <c r="CI14" s="16">
        <v>207235</v>
      </c>
      <c r="CJ14" s="17" t="s">
        <v>178</v>
      </c>
      <c r="CK14" s="17" t="s">
        <v>220</v>
      </c>
      <c r="CL14" s="17" t="s">
        <v>178</v>
      </c>
      <c r="CM14" s="17" t="s">
        <v>178</v>
      </c>
      <c r="CN14" s="226">
        <v>213677</v>
      </c>
      <c r="CO14" s="226">
        <v>13932</v>
      </c>
      <c r="CP14" s="224">
        <f>BU18</f>
        <v>550</v>
      </c>
      <c r="CQ14" s="224">
        <f t="shared" ref="CQ14:CT14" si="10">BV18</f>
        <v>0</v>
      </c>
      <c r="CR14" s="224">
        <f t="shared" si="10"/>
        <v>0</v>
      </c>
      <c r="CS14" s="224">
        <f t="shared" si="10"/>
        <v>16662</v>
      </c>
      <c r="CT14" s="224">
        <f t="shared" si="10"/>
        <v>0</v>
      </c>
    </row>
    <row r="15" spans="1:136" ht="15" customHeight="1" x14ac:dyDescent="0.2">
      <c r="A15" s="39"/>
      <c r="B15" s="49">
        <v>2</v>
      </c>
      <c r="C15" s="49">
        <v>3</v>
      </c>
      <c r="D15" s="108"/>
      <c r="E15" s="108"/>
      <c r="F15" s="108"/>
      <c r="G15" s="108"/>
      <c r="H15" s="116"/>
      <c r="I15" s="434" t="s">
        <v>221</v>
      </c>
      <c r="J15" s="435"/>
      <c r="K15" s="435"/>
      <c r="L15" s="435"/>
      <c r="M15" s="435"/>
      <c r="N15" s="435"/>
      <c r="O15" s="435"/>
      <c r="P15" s="436"/>
      <c r="Q15" s="35"/>
      <c r="R15" s="423">
        <f>AY77</f>
        <v>213996</v>
      </c>
      <c r="S15" s="423" t="str">
        <f>VLOOKUP(R15,CI:CM,3,0)</f>
        <v>LAMINA AGUILA MF 2026 UV TIPO D 0,195</v>
      </c>
      <c r="T15" s="395">
        <f>SUMIF($CN:$CN,R15,$CO:$CO)</f>
        <v>8602</v>
      </c>
      <c r="U15" s="232"/>
      <c r="V15" s="397">
        <f>T15-((U15*11000)/675)</f>
        <v>8602</v>
      </c>
      <c r="W15" s="423">
        <f>AY78</f>
        <v>213637</v>
      </c>
      <c r="X15" s="423" t="str">
        <f>VLOOKUP(W15,CI:CM,3,0)</f>
        <v>LAMINA AGUILA LGT PROMO ALFA TIP D 0.195</v>
      </c>
      <c r="Y15" s="395">
        <f>SUMIF($CN:$CN,W15,$CO:$CO)</f>
        <v>25460</v>
      </c>
      <c r="Z15" s="232"/>
      <c r="AA15" s="437">
        <f>Y15-((Z15*11000)/667)</f>
        <v>25460</v>
      </c>
      <c r="AB15" s="35"/>
      <c r="AC15" s="9"/>
      <c r="AD15" s="22"/>
      <c r="AE15" s="35"/>
      <c r="AF15" s="42"/>
      <c r="AG15" s="42"/>
      <c r="AH15" s="35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>
        <v>213677</v>
      </c>
      <c r="AV15" s="51">
        <v>212037</v>
      </c>
      <c r="AW15" s="51">
        <v>211671</v>
      </c>
      <c r="AX15" s="51">
        <v>211749</v>
      </c>
      <c r="AY15" s="51">
        <v>210655</v>
      </c>
      <c r="AZ15" s="51">
        <v>213239</v>
      </c>
      <c r="BA15" s="51">
        <v>213995</v>
      </c>
      <c r="BB15" s="51">
        <v>212315</v>
      </c>
      <c r="BC15" s="51">
        <v>210760</v>
      </c>
      <c r="BD15" s="33"/>
      <c r="BE15" s="51"/>
      <c r="BF15" s="51"/>
      <c r="BG15" s="51"/>
      <c r="BH15" s="35"/>
      <c r="BI15" s="35"/>
      <c r="BJ15" s="43"/>
      <c r="BK15" s="43"/>
      <c r="BL15" s="43"/>
      <c r="BM15" s="43"/>
      <c r="BN15" s="43"/>
      <c r="BO15" s="251"/>
      <c r="BP15" s="33"/>
      <c r="BQ15" s="252" t="s">
        <v>222</v>
      </c>
      <c r="BR15" s="253">
        <v>25</v>
      </c>
      <c r="BS15" s="33"/>
      <c r="BT15" s="33"/>
      <c r="BU15" s="43"/>
      <c r="BV15" s="43"/>
      <c r="BW15" s="43"/>
      <c r="BX15" s="43"/>
      <c r="BY15" s="43"/>
      <c r="BZ15" s="39"/>
      <c r="CA15" s="39"/>
      <c r="CB15" s="392"/>
      <c r="CC15" s="394"/>
      <c r="CD15" s="39"/>
      <c r="CE15" s="40"/>
      <c r="CF15" s="41"/>
      <c r="CG15" s="432"/>
      <c r="CI15" s="16">
        <v>207542</v>
      </c>
      <c r="CJ15" s="17" t="s">
        <v>178</v>
      </c>
      <c r="CK15" s="17" t="s">
        <v>223</v>
      </c>
      <c r="CL15" s="17" t="s">
        <v>178</v>
      </c>
      <c r="CM15" s="17" t="s">
        <v>178</v>
      </c>
      <c r="CN15" s="226">
        <v>212037</v>
      </c>
      <c r="CO15" s="226">
        <v>640</v>
      </c>
    </row>
    <row r="16" spans="1:136" ht="14.25" customHeight="1" x14ac:dyDescent="0.2">
      <c r="A16" s="39"/>
      <c r="B16" s="49">
        <v>3</v>
      </c>
      <c r="C16" s="49">
        <v>1</v>
      </c>
      <c r="D16" s="108"/>
      <c r="E16" s="108"/>
      <c r="F16" s="108"/>
      <c r="G16" s="108"/>
      <c r="H16" s="116"/>
      <c r="I16" s="216"/>
      <c r="J16" s="208"/>
      <c r="K16" s="208"/>
      <c r="L16" s="208"/>
      <c r="M16" s="208"/>
      <c r="N16" s="208"/>
      <c r="O16" s="208"/>
      <c r="P16" s="209"/>
      <c r="Q16" s="35"/>
      <c r="R16" s="424"/>
      <c r="S16" s="424"/>
      <c r="T16" s="396"/>
      <c r="U16" s="233" t="s">
        <v>224</v>
      </c>
      <c r="V16" s="398"/>
      <c r="W16" s="424"/>
      <c r="X16" s="424"/>
      <c r="Y16" s="396"/>
      <c r="Z16" s="233" t="s">
        <v>224</v>
      </c>
      <c r="AA16" s="438"/>
      <c r="AB16" s="35"/>
      <c r="AC16" s="25"/>
      <c r="AD16" s="22"/>
      <c r="AE16" s="35"/>
      <c r="AF16" s="42"/>
      <c r="AG16" s="42"/>
      <c r="AH16" s="35"/>
      <c r="AI16" s="52" t="str">
        <f>IFERROR(VLOOKUP(AI15,$CI:$CM,3,0)," ")</f>
        <v xml:space="preserve"> </v>
      </c>
      <c r="AJ16" s="52" t="str">
        <f>IFERROR(VLOOKUP(AJ15,$CI:$CM,3,0)," ")</f>
        <v xml:space="preserve"> </v>
      </c>
      <c r="AK16" s="52" t="str">
        <f>IFERROR(VLOOKUP(AK15,$CI:$CM,3,0)," ")</f>
        <v xml:space="preserve"> </v>
      </c>
      <c r="AL16" s="52" t="str">
        <f>IFERROR(VLOOKUP(AL15,$CI:$CM,3,0)," ")</f>
        <v xml:space="preserve"> </v>
      </c>
      <c r="AM16" s="52" t="str">
        <f t="shared" ref="AM16:BC16" si="11">IFERROR(VLOOKUP(AM15,$CI:$CM,3,0)," ")</f>
        <v xml:space="preserve"> </v>
      </c>
      <c r="AN16" s="52" t="str">
        <f t="shared" ref="AN16" si="12">IFERROR(VLOOKUP(AN15,$CI:$CM,3,0)," ")</f>
        <v xml:space="preserve"> </v>
      </c>
      <c r="AO16" s="52" t="str">
        <f t="shared" si="11"/>
        <v xml:space="preserve"> </v>
      </c>
      <c r="AP16" s="52" t="str">
        <f t="shared" si="11"/>
        <v xml:space="preserve"> </v>
      </c>
      <c r="AQ16" s="52" t="str">
        <f t="shared" si="11"/>
        <v xml:space="preserve"> </v>
      </c>
      <c r="AR16" s="52" t="str">
        <f t="shared" ref="AR16" si="13">IFERROR(VLOOKUP(AR15,$CI:$CM,3,0)," ")</f>
        <v xml:space="preserve"> </v>
      </c>
      <c r="AS16" s="52" t="str">
        <f t="shared" si="11"/>
        <v xml:space="preserve"> </v>
      </c>
      <c r="AT16" s="52" t="str">
        <f t="shared" si="11"/>
        <v xml:space="preserve"> </v>
      </c>
      <c r="AU16" s="52" t="str">
        <f t="shared" si="11"/>
        <v>LAMINA LACADA SIZING PROM TIPO D 0.195</v>
      </c>
      <c r="AV16" s="52" t="str">
        <f t="shared" si="11"/>
        <v>BASE DORADA LACADA 0.195</v>
      </c>
      <c r="AW16" s="52" t="str">
        <f t="shared" si="11"/>
        <v>LAMINA BASE AGUILA LACA TIPO D 0.195</v>
      </c>
      <c r="AX16" s="52" t="str">
        <f>IFERROR(VLOOKUP(AX15,$CI:$CM,3,0)," ")</f>
        <v>LAM BASE BLANCA LACA OXY TIPO 0.195</v>
      </c>
      <c r="AY16" s="52" t="str">
        <f t="shared" si="11"/>
        <v>LAMINA GEN LACADA SIZING TIPO D 0,195</v>
      </c>
      <c r="AZ16" s="52" t="str">
        <f t="shared" si="11"/>
        <v>LAMINA PILSENER TIPO D 0.195</v>
      </c>
      <c r="BA16" s="52" t="str">
        <f t="shared" si="11"/>
        <v>LAMINA AGUILA MF 2026 CONV TIPO D 0,195</v>
      </c>
      <c r="BB16" s="52" t="str">
        <f t="shared" si="11"/>
        <v xml:space="preserve">LAMINA COSTEÑITA CBARRAS LG TIPOD.0.195 </v>
      </c>
      <c r="BC16" s="52" t="str">
        <f t="shared" si="11"/>
        <v xml:space="preserve">LAMINA AGUILA AZUL TIPO D 0.195 </v>
      </c>
      <c r="BD16" s="33"/>
      <c r="BE16" s="52" t="str">
        <f>IFERROR(VLOOKUP(BE15,$CI:$CM,3,0)," ")</f>
        <v xml:space="preserve"> </v>
      </c>
      <c r="BF16" s="52" t="str">
        <f>IFERROR(VLOOKUP(BF15,$CI:$CM,3,0)," ")</f>
        <v xml:space="preserve"> </v>
      </c>
      <c r="BG16" s="52" t="str">
        <f>IFERROR(VLOOKUP(BG15,$CI:$CM,3,0)," ")</f>
        <v xml:space="preserve"> </v>
      </c>
      <c r="BH16" s="35"/>
      <c r="BI16" s="35"/>
      <c r="BJ16" s="43"/>
      <c r="BK16" s="43"/>
      <c r="BL16" s="43"/>
      <c r="BM16" s="43"/>
      <c r="BN16" s="43"/>
      <c r="BO16" s="33"/>
      <c r="BP16" s="33"/>
      <c r="BQ16" s="252" t="s">
        <v>222</v>
      </c>
      <c r="BR16" s="253">
        <v>15</v>
      </c>
      <c r="BS16" s="33"/>
      <c r="BT16" s="33"/>
      <c r="BU16" s="43"/>
      <c r="BV16" s="43"/>
      <c r="BW16" s="43"/>
      <c r="BX16" s="43"/>
      <c r="BY16" s="43"/>
      <c r="BZ16" s="39"/>
      <c r="CA16" s="39"/>
      <c r="CB16" s="392"/>
      <c r="CC16" s="394"/>
      <c r="CD16" s="39"/>
      <c r="CE16" s="47"/>
      <c r="CF16" s="41"/>
      <c r="CG16" s="432"/>
      <c r="CI16" s="16">
        <v>206453</v>
      </c>
      <c r="CJ16" s="17" t="s">
        <v>178</v>
      </c>
      <c r="CK16" s="17" t="s">
        <v>225</v>
      </c>
      <c r="CL16" s="17" t="s">
        <v>178</v>
      </c>
      <c r="CM16" s="17" t="s">
        <v>178</v>
      </c>
      <c r="CN16" s="226">
        <v>211671</v>
      </c>
      <c r="CO16" s="226">
        <v>2313</v>
      </c>
      <c r="CP16" s="224">
        <f>BU25</f>
        <v>0</v>
      </c>
      <c r="CQ16" s="224">
        <f t="shared" ref="CQ16:CT16" si="14">BV25</f>
        <v>0</v>
      </c>
      <c r="CR16" s="224">
        <f t="shared" si="14"/>
        <v>0</v>
      </c>
      <c r="CS16" s="224">
        <f t="shared" si="14"/>
        <v>0</v>
      </c>
      <c r="CT16" s="224">
        <f t="shared" si="14"/>
        <v>212037</v>
      </c>
    </row>
    <row r="17" spans="1:126" ht="14.25" customHeight="1" x14ac:dyDescent="0.2">
      <c r="A17" s="39"/>
      <c r="B17" s="48"/>
      <c r="C17" s="49"/>
      <c r="D17" s="108"/>
      <c r="E17" s="108"/>
      <c r="F17" s="108"/>
      <c r="G17" s="108"/>
      <c r="H17" s="116"/>
      <c r="I17" s="210"/>
      <c r="J17" s="211"/>
      <c r="K17" s="211"/>
      <c r="L17" s="211"/>
      <c r="M17" s="211"/>
      <c r="N17" s="211"/>
      <c r="O17" s="211"/>
      <c r="P17" s="212"/>
      <c r="Q17" s="35"/>
      <c r="R17" s="424"/>
      <c r="S17" s="424"/>
      <c r="T17" s="396"/>
      <c r="U17" s="256">
        <f>+((V15*667)/11000)</f>
        <v>521.59400000000005</v>
      </c>
      <c r="V17" s="398"/>
      <c r="W17" s="424"/>
      <c r="X17" s="424"/>
      <c r="Y17" s="396"/>
      <c r="Z17" s="256">
        <f>+((AA15*667)/11000)</f>
        <v>1543.8018181818181</v>
      </c>
      <c r="AA17" s="438"/>
      <c r="AB17" s="35"/>
      <c r="AC17" s="9"/>
      <c r="AD17" s="22"/>
      <c r="AE17" s="35"/>
      <c r="AF17" s="42"/>
      <c r="AG17" s="42"/>
      <c r="AH17" s="35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 t="s">
        <v>4</v>
      </c>
      <c r="AW17" s="53" t="s">
        <v>3</v>
      </c>
      <c r="AX17" s="53" t="s">
        <v>4</v>
      </c>
      <c r="AY17" s="53" t="s">
        <v>4</v>
      </c>
      <c r="AZ17" s="53" t="s">
        <v>4</v>
      </c>
      <c r="BA17" s="53"/>
      <c r="BB17" s="53" t="s">
        <v>2</v>
      </c>
      <c r="BC17" s="53" t="s">
        <v>2</v>
      </c>
      <c r="BD17" s="33"/>
      <c r="BE17" s="53"/>
      <c r="BF17" s="53"/>
      <c r="BG17" s="53"/>
      <c r="BH17" s="35"/>
      <c r="BI17" s="35"/>
      <c r="BJ17" s="43"/>
      <c r="BK17" s="43"/>
      <c r="BL17" s="43"/>
      <c r="BM17" s="43"/>
      <c r="BN17" s="43"/>
      <c r="BO17" s="33"/>
      <c r="BP17" s="33"/>
      <c r="BQ17" s="252" t="s">
        <v>226</v>
      </c>
      <c r="BR17" s="253">
        <v>20</v>
      </c>
      <c r="BS17" s="33"/>
      <c r="BT17" s="33"/>
      <c r="BU17" s="43"/>
      <c r="BV17" s="43"/>
      <c r="BW17" s="43"/>
      <c r="BX17" s="43"/>
      <c r="BY17" s="43"/>
      <c r="BZ17" s="39"/>
      <c r="CA17" s="39"/>
      <c r="CB17" s="392"/>
      <c r="CC17" s="394"/>
      <c r="CD17" s="39"/>
      <c r="CE17" s="40"/>
      <c r="CF17" s="41"/>
      <c r="CG17" s="432"/>
      <c r="CI17" s="16">
        <v>207544</v>
      </c>
      <c r="CJ17" s="17" t="s">
        <v>178</v>
      </c>
      <c r="CK17" s="17" t="s">
        <v>227</v>
      </c>
      <c r="CL17" s="17" t="s">
        <v>178</v>
      </c>
      <c r="CM17" s="17" t="s">
        <v>178</v>
      </c>
      <c r="CN17" s="226">
        <v>211749</v>
      </c>
      <c r="CO17" s="226">
        <v>2955</v>
      </c>
      <c r="CP17" s="6">
        <f>BU24</f>
        <v>0</v>
      </c>
      <c r="CQ17" s="6">
        <f t="shared" ref="CQ17:CT17" si="15">BV24</f>
        <v>0</v>
      </c>
      <c r="CR17" s="6">
        <f t="shared" si="15"/>
        <v>0</v>
      </c>
      <c r="CS17" s="6">
        <f t="shared" si="15"/>
        <v>0</v>
      </c>
      <c r="CT17" s="6">
        <f t="shared" si="15"/>
        <v>725</v>
      </c>
    </row>
    <row r="18" spans="1:126" ht="14.25" customHeight="1" x14ac:dyDescent="0.2">
      <c r="A18" s="39"/>
      <c r="B18" s="48"/>
      <c r="C18" s="49"/>
      <c r="D18" s="108"/>
      <c r="E18" s="108"/>
      <c r="F18" s="108"/>
      <c r="G18" s="108"/>
      <c r="H18" s="116"/>
      <c r="I18" s="210"/>
      <c r="J18" s="211"/>
      <c r="K18" s="211"/>
      <c r="L18" s="211"/>
      <c r="M18" s="211"/>
      <c r="N18" s="211"/>
      <c r="O18" s="211"/>
      <c r="P18" s="212"/>
      <c r="Q18" s="42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35"/>
      <c r="AC18" s="25"/>
      <c r="AD18" s="22"/>
      <c r="AE18" s="35"/>
      <c r="AF18" s="42"/>
      <c r="AG18" s="42"/>
      <c r="AH18" s="35"/>
      <c r="AI18" s="53"/>
      <c r="AJ18" s="53"/>
      <c r="AK18" s="53"/>
      <c r="AL18" s="53"/>
      <c r="AM18" s="53"/>
      <c r="AN18" s="53"/>
      <c r="AO18" s="54"/>
      <c r="AP18" s="54"/>
      <c r="AQ18" s="54"/>
      <c r="AR18" s="54"/>
      <c r="AS18" s="54"/>
      <c r="AT18" s="54"/>
      <c r="AU18" s="54"/>
      <c r="AV18" s="54" t="s">
        <v>228</v>
      </c>
      <c r="AW18" s="54" t="s">
        <v>229</v>
      </c>
      <c r="AX18" s="54" t="s">
        <v>230</v>
      </c>
      <c r="AY18" s="54" t="s">
        <v>231</v>
      </c>
      <c r="AZ18" s="54" t="s">
        <v>232</v>
      </c>
      <c r="BA18" s="54"/>
      <c r="BB18" s="54" t="s">
        <v>233</v>
      </c>
      <c r="BC18" s="54" t="s">
        <v>234</v>
      </c>
      <c r="BD18" s="55"/>
      <c r="BE18" s="54"/>
      <c r="BF18" s="54"/>
      <c r="BG18" s="54"/>
      <c r="BH18" s="35"/>
      <c r="BI18" s="35"/>
      <c r="BJ18" s="50">
        <f>SUM(BJ10:BJ17)</f>
        <v>0</v>
      </c>
      <c r="BK18" s="50">
        <f t="shared" ref="BK18:BN18" si="16">SUM(BK10:BK17)</f>
        <v>743</v>
      </c>
      <c r="BL18" s="50">
        <f t="shared" si="16"/>
        <v>974</v>
      </c>
      <c r="BM18" s="50">
        <f t="shared" si="16"/>
        <v>400</v>
      </c>
      <c r="BN18" s="50">
        <f t="shared" si="16"/>
        <v>1847</v>
      </c>
      <c r="BO18" s="33"/>
      <c r="BP18" s="33"/>
      <c r="BQ18" s="252" t="s">
        <v>226</v>
      </c>
      <c r="BR18" s="253">
        <v>15</v>
      </c>
      <c r="BS18" s="33"/>
      <c r="BT18" s="33"/>
      <c r="BU18" s="50">
        <f>SUM(BU10:BU17)</f>
        <v>550</v>
      </c>
      <c r="BV18" s="50">
        <f t="shared" ref="BV18:BW18" si="17">SUM(BV10:BV17)</f>
        <v>0</v>
      </c>
      <c r="BW18" s="50">
        <f t="shared" si="17"/>
        <v>0</v>
      </c>
      <c r="BX18" s="50">
        <f>SUM(BX10:BX17)</f>
        <v>16662</v>
      </c>
      <c r="BY18" s="50">
        <f>SUM(BY10:BY17)</f>
        <v>0</v>
      </c>
      <c r="BZ18" s="39"/>
      <c r="CA18" s="39"/>
      <c r="CB18" s="392"/>
      <c r="CC18" s="394"/>
      <c r="CD18" s="39"/>
      <c r="CE18" s="47"/>
      <c r="CF18" s="41"/>
      <c r="CG18" s="432"/>
      <c r="CI18" s="16">
        <v>207532</v>
      </c>
      <c r="CJ18" s="17" t="s">
        <v>178</v>
      </c>
      <c r="CK18" s="17" t="s">
        <v>235</v>
      </c>
      <c r="CL18" s="17" t="s">
        <v>178</v>
      </c>
      <c r="CM18" s="17" t="s">
        <v>178</v>
      </c>
      <c r="CN18" s="226">
        <v>210655</v>
      </c>
      <c r="CO18" s="226">
        <v>1694</v>
      </c>
    </row>
    <row r="19" spans="1:126" ht="13.5" customHeight="1" x14ac:dyDescent="0.15">
      <c r="A19" s="39"/>
      <c r="B19" s="39"/>
      <c r="C19" s="39"/>
      <c r="D19" s="108"/>
      <c r="E19" s="108"/>
      <c r="F19" s="108"/>
      <c r="G19" s="108"/>
      <c r="H19" s="116"/>
      <c r="I19" s="210"/>
      <c r="J19" s="211"/>
      <c r="K19" s="211"/>
      <c r="L19" s="211"/>
      <c r="M19" s="211"/>
      <c r="N19" s="211"/>
      <c r="O19" s="211"/>
      <c r="P19" s="212"/>
      <c r="Q19" s="42"/>
      <c r="R19" s="422" t="s">
        <v>236</v>
      </c>
      <c r="S19" s="422"/>
      <c r="T19" s="422"/>
      <c r="U19" s="422"/>
      <c r="V19" s="422"/>
      <c r="W19" s="422" t="s">
        <v>237</v>
      </c>
      <c r="X19" s="422"/>
      <c r="Y19" s="422"/>
      <c r="Z19" s="422"/>
      <c r="AA19" s="422"/>
      <c r="AB19" s="35"/>
      <c r="AC19" s="9"/>
      <c r="AD19" s="22"/>
      <c r="AE19" s="35"/>
      <c r="AF19" s="42"/>
      <c r="AG19" s="42"/>
      <c r="AH19" s="35"/>
      <c r="AI19" s="56"/>
      <c r="AJ19" s="56"/>
      <c r="AK19" s="56"/>
      <c r="AL19" s="38"/>
      <c r="AM19" s="38"/>
      <c r="AN19" s="35"/>
      <c r="AO19" s="35"/>
      <c r="AP19" s="57"/>
      <c r="AQ19" s="35"/>
      <c r="AR19" s="35"/>
      <c r="AS19" s="58"/>
      <c r="AT19" s="58"/>
      <c r="AU19" s="35"/>
      <c r="AV19" s="35"/>
      <c r="AW19" s="35"/>
      <c r="AX19" s="56"/>
      <c r="AY19" s="33"/>
      <c r="AZ19" s="33"/>
      <c r="BA19" s="33"/>
      <c r="BB19" s="33"/>
      <c r="BC19" s="33"/>
      <c r="BD19" s="33"/>
      <c r="BE19" s="45"/>
      <c r="BF19" s="45"/>
      <c r="BG19" s="45"/>
      <c r="BH19" s="35"/>
      <c r="BI19" s="35"/>
      <c r="BJ19" s="51"/>
      <c r="BK19" s="51">
        <v>213732</v>
      </c>
      <c r="BL19" s="51">
        <v>213637</v>
      </c>
      <c r="BM19" s="51">
        <v>213868</v>
      </c>
      <c r="BN19" s="51">
        <v>211691</v>
      </c>
      <c r="BO19" s="33"/>
      <c r="BP19" s="33"/>
      <c r="BQ19" s="515" t="s">
        <v>238</v>
      </c>
      <c r="BR19" s="516"/>
      <c r="BS19" s="33"/>
      <c r="BT19" s="33"/>
      <c r="BU19" s="51">
        <v>210655</v>
      </c>
      <c r="BV19" s="51"/>
      <c r="BW19" s="51"/>
      <c r="BX19" s="51">
        <v>213677</v>
      </c>
      <c r="BY19" s="51"/>
      <c r="BZ19" s="39"/>
      <c r="CA19" s="39"/>
      <c r="CB19" s="392"/>
      <c r="CC19" s="394"/>
      <c r="CD19" s="39"/>
      <c r="CE19" s="40"/>
      <c r="CF19" s="41"/>
      <c r="CG19" s="432"/>
      <c r="CI19" s="16">
        <v>206455</v>
      </c>
      <c r="CJ19" s="17" t="s">
        <v>178</v>
      </c>
      <c r="CK19" s="17" t="s">
        <v>239</v>
      </c>
      <c r="CL19" s="17" t="s">
        <v>178</v>
      </c>
      <c r="CM19" s="17" t="s">
        <v>178</v>
      </c>
      <c r="CN19" s="226">
        <v>213239</v>
      </c>
      <c r="CO19" s="226">
        <v>371</v>
      </c>
      <c r="CP19" s="224">
        <f t="shared" ref="CP19:CX19" si="18">BQ32</f>
        <v>0</v>
      </c>
      <c r="CQ19" s="224">
        <f t="shared" si="18"/>
        <v>0</v>
      </c>
      <c r="CR19" s="224">
        <f t="shared" si="18"/>
        <v>0</v>
      </c>
      <c r="CS19" s="224">
        <f t="shared" si="18"/>
        <v>211209</v>
      </c>
      <c r="CT19" s="224">
        <f t="shared" si="18"/>
        <v>206454</v>
      </c>
      <c r="CU19" s="224">
        <f t="shared" si="18"/>
        <v>206453</v>
      </c>
      <c r="CV19" s="224">
        <f t="shared" si="18"/>
        <v>207544</v>
      </c>
      <c r="CW19" s="224">
        <f t="shared" si="18"/>
        <v>206455</v>
      </c>
      <c r="CX19" s="224">
        <f t="shared" si="18"/>
        <v>210654</v>
      </c>
      <c r="CY19" s="224"/>
    </row>
    <row r="20" spans="1:126" ht="13.5" customHeight="1" x14ac:dyDescent="0.2">
      <c r="A20" s="39"/>
      <c r="B20" s="39"/>
      <c r="C20" s="39"/>
      <c r="D20" s="108"/>
      <c r="E20" s="108"/>
      <c r="F20" s="108"/>
      <c r="G20" s="108"/>
      <c r="H20" s="116"/>
      <c r="I20" s="210"/>
      <c r="J20" s="211"/>
      <c r="K20" s="211"/>
      <c r="L20" s="211"/>
      <c r="M20" s="211"/>
      <c r="N20" s="211"/>
      <c r="O20" s="211"/>
      <c r="P20" s="212"/>
      <c r="Q20" s="42"/>
      <c r="R20" s="422"/>
      <c r="S20" s="422"/>
      <c r="T20" s="422"/>
      <c r="U20" s="422"/>
      <c r="V20" s="422"/>
      <c r="W20" s="422"/>
      <c r="X20" s="422"/>
      <c r="Y20" s="422"/>
      <c r="Z20" s="422"/>
      <c r="AA20" s="422"/>
      <c r="AB20" s="35"/>
      <c r="AC20" s="25"/>
      <c r="AD20" s="22"/>
      <c r="AE20" s="35"/>
      <c r="AF20" s="42"/>
      <c r="AG20" s="42"/>
      <c r="AH20" s="35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43"/>
      <c r="AV20" s="43"/>
      <c r="AW20" s="43">
        <v>480</v>
      </c>
      <c r="AX20" s="43"/>
      <c r="AY20" s="43">
        <v>1690</v>
      </c>
      <c r="AZ20" s="43">
        <f>1558+1680+1680</f>
        <v>4918</v>
      </c>
      <c r="BA20" s="43"/>
      <c r="BB20" s="43"/>
      <c r="BC20" s="43"/>
      <c r="BD20" s="33"/>
      <c r="BE20" s="43"/>
      <c r="BF20" s="43"/>
      <c r="BG20" s="43"/>
      <c r="BH20" s="35"/>
      <c r="BI20" s="35"/>
      <c r="BJ20" s="52" t="str">
        <f>IFERROR(VLOOKUP(BJ19,$CI:$CM,3,0)," ")</f>
        <v xml:space="preserve"> </v>
      </c>
      <c r="BK20" s="52" t="str">
        <f>IFERROR(VLOOKUP(BK19,$CI:$CM,3,0)," ")</f>
        <v>LAMINA COSTEÑA BACANA CENTRO TIPO D 0.195</v>
      </c>
      <c r="BL20" s="52" t="str">
        <f>IFERROR(VLOOKUP(BL19,$CI:$CM,3,0)," ")</f>
        <v>LAMINA AGUILA LGT PROMO ALFA TIP D 0.195</v>
      </c>
      <c r="BM20" s="52" t="str">
        <f>IFERROR(VLOOKUP(BM19,$CI:$CM,3,0)," ")</f>
        <v>LAMINA TAPA TEST CONV TIPO D0.195</v>
      </c>
      <c r="BN20" s="52" t="str">
        <f>IFERROR(VLOOKUP(BN19,$CI:$CM,3,0)," ")</f>
        <v>LAMINA NATIVA SUR TIPO D 0.195</v>
      </c>
      <c r="BO20" s="33"/>
      <c r="BP20" s="33"/>
      <c r="BQ20" s="247"/>
      <c r="BR20" s="248"/>
      <c r="BS20" s="33"/>
      <c r="BT20" s="33"/>
      <c r="BU20" s="52" t="str">
        <f>IFERROR(VLOOKUP(BU19,$CI:$CM,3,0)," ")</f>
        <v>LAMINA GEN LACADA SIZING TIPO D 0,195</v>
      </c>
      <c r="BV20" s="52" t="str">
        <f>IFERROR(VLOOKUP(BV19,$CI:$CM,3,0)," ")</f>
        <v xml:space="preserve"> </v>
      </c>
      <c r="BW20" s="52" t="str">
        <f>IFERROR(VLOOKUP(BW19,$CI:$CM,3,0)," ")</f>
        <v xml:space="preserve"> </v>
      </c>
      <c r="BX20" s="52" t="str">
        <f>IFERROR(VLOOKUP(BX19,$CI:$CM,3,0)," ")</f>
        <v>LAMINA LACADA SIZING PROM TIPO D 0.195</v>
      </c>
      <c r="BY20" s="52" t="str">
        <f>IFERROR(VLOOKUP(BY19,$CI:$CM,3,0)," ")</f>
        <v xml:space="preserve"> </v>
      </c>
      <c r="BZ20" s="39"/>
      <c r="CA20" s="39"/>
      <c r="CB20" s="386"/>
      <c r="CC20" s="431"/>
      <c r="CD20" s="39"/>
      <c r="CE20" s="47"/>
      <c r="CF20" s="41"/>
      <c r="CG20" s="432"/>
      <c r="CI20" s="16">
        <v>206050</v>
      </c>
      <c r="CJ20" s="17" t="s">
        <v>178</v>
      </c>
      <c r="CK20" s="17" t="s">
        <v>240</v>
      </c>
      <c r="CL20" s="17" t="s">
        <v>178</v>
      </c>
      <c r="CM20" s="17" t="s">
        <v>178</v>
      </c>
      <c r="CN20" s="226">
        <v>213995</v>
      </c>
      <c r="CO20" s="226">
        <v>310</v>
      </c>
      <c r="CP20" s="224">
        <f>BQ31</f>
        <v>0</v>
      </c>
      <c r="CQ20" s="224">
        <f t="shared" ref="CQ20:CX20" si="19">BR31</f>
        <v>0</v>
      </c>
      <c r="CR20" s="224">
        <f t="shared" si="19"/>
        <v>0</v>
      </c>
      <c r="CS20" s="224">
        <f t="shared" si="19"/>
        <v>218</v>
      </c>
      <c r="CT20" s="224">
        <f t="shared" si="19"/>
        <v>452</v>
      </c>
      <c r="CU20" s="224">
        <f t="shared" si="19"/>
        <v>1176</v>
      </c>
      <c r="CV20" s="224">
        <f t="shared" si="19"/>
        <v>4207</v>
      </c>
      <c r="CW20" s="224">
        <f t="shared" si="19"/>
        <v>6127</v>
      </c>
      <c r="CX20" s="224">
        <f t="shared" si="19"/>
        <v>9553</v>
      </c>
    </row>
    <row r="21" spans="1:126" ht="13.5" customHeight="1" x14ac:dyDescent="0.15">
      <c r="A21" s="39"/>
      <c r="B21" s="39"/>
      <c r="C21" s="39"/>
      <c r="D21" s="108"/>
      <c r="E21" s="108"/>
      <c r="F21" s="108"/>
      <c r="G21" s="108"/>
      <c r="H21" s="116"/>
      <c r="I21" s="210"/>
      <c r="J21" s="211"/>
      <c r="K21" s="211"/>
      <c r="L21" s="211"/>
      <c r="M21" s="211"/>
      <c r="N21" s="211"/>
      <c r="O21" s="211"/>
      <c r="P21" s="212"/>
      <c r="Q21" s="42"/>
      <c r="R21" s="220" t="s">
        <v>176</v>
      </c>
      <c r="S21" s="220" t="s">
        <v>215</v>
      </c>
      <c r="T21" s="220" t="s">
        <v>216</v>
      </c>
      <c r="U21" s="220" t="s">
        <v>217</v>
      </c>
      <c r="V21" s="220" t="s">
        <v>218</v>
      </c>
      <c r="W21" s="220" t="s">
        <v>176</v>
      </c>
      <c r="X21" s="220" t="s">
        <v>215</v>
      </c>
      <c r="Y21" s="220" t="s">
        <v>216</v>
      </c>
      <c r="Z21" s="220" t="s">
        <v>217</v>
      </c>
      <c r="AA21" s="220" t="s">
        <v>218</v>
      </c>
      <c r="AB21" s="35"/>
      <c r="AC21" s="9"/>
      <c r="AD21" s="22"/>
      <c r="AE21" s="35"/>
      <c r="AF21" s="42"/>
      <c r="AG21" s="42"/>
      <c r="AH21" s="35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>
        <v>212037</v>
      </c>
      <c r="AX21" s="51"/>
      <c r="AY21" s="51">
        <v>207544</v>
      </c>
      <c r="AZ21" s="51">
        <v>210656</v>
      </c>
      <c r="BA21" s="51"/>
      <c r="BB21" s="51"/>
      <c r="BC21" s="51"/>
      <c r="BD21" s="35"/>
      <c r="BE21" s="51"/>
      <c r="BF21" s="51"/>
      <c r="BG21" s="51"/>
      <c r="BH21" s="35"/>
      <c r="BI21" s="35"/>
      <c r="BJ21" s="53"/>
      <c r="BK21" s="53" t="s">
        <v>2</v>
      </c>
      <c r="BL21" s="53" t="s">
        <v>2</v>
      </c>
      <c r="BM21" s="53" t="s">
        <v>3</v>
      </c>
      <c r="BN21" s="53" t="s">
        <v>3</v>
      </c>
      <c r="BO21" s="33"/>
      <c r="BP21" s="33"/>
      <c r="BQ21" s="249"/>
      <c r="BR21" s="250"/>
      <c r="BS21" s="33"/>
      <c r="BT21" s="33"/>
      <c r="BU21" s="53" t="s">
        <v>4</v>
      </c>
      <c r="BV21" s="53"/>
      <c r="BW21" s="53"/>
      <c r="BX21" s="53" t="s">
        <v>4</v>
      </c>
      <c r="BY21" s="53"/>
      <c r="BZ21" s="39"/>
      <c r="CA21" s="39"/>
      <c r="CB21" s="39"/>
      <c r="CC21" s="39"/>
      <c r="CD21" s="39"/>
      <c r="CE21" s="40"/>
      <c r="CF21" s="45"/>
      <c r="CG21" s="432"/>
      <c r="CI21" s="60">
        <v>210760</v>
      </c>
      <c r="CJ21" s="60">
        <v>207189</v>
      </c>
      <c r="CK21" s="60" t="s">
        <v>27</v>
      </c>
      <c r="CL21" s="60">
        <v>210655</v>
      </c>
      <c r="CM21" s="60" t="str">
        <f t="shared" ref="CM21:CM72" si="20">VLOOKUP(CL21,$CI$2:$CK$20,3,0)</f>
        <v>LAMINA GEN LACADA SIZING TIPO D 0,195</v>
      </c>
      <c r="CN21" s="226">
        <v>212315</v>
      </c>
      <c r="CO21" s="226">
        <v>140</v>
      </c>
    </row>
    <row r="22" spans="1:126" ht="13.5" customHeight="1" x14ac:dyDescent="0.2">
      <c r="A22" s="39"/>
      <c r="B22" s="39"/>
      <c r="C22" s="39"/>
      <c r="D22" s="108"/>
      <c r="E22" s="108"/>
      <c r="F22" s="108"/>
      <c r="G22" s="108"/>
      <c r="H22" s="116"/>
      <c r="I22" s="210"/>
      <c r="J22" s="211"/>
      <c r="K22" s="211"/>
      <c r="L22" s="211"/>
      <c r="M22" s="211"/>
      <c r="N22" s="211"/>
      <c r="O22" s="211"/>
      <c r="P22" s="212"/>
      <c r="Q22" s="42"/>
      <c r="R22" s="423">
        <f>AY79</f>
        <v>213738</v>
      </c>
      <c r="S22" s="423" t="str">
        <f>VLOOKUP(R22,CI:CM,3,0)</f>
        <v>LAMINA POKER RENOVACION</v>
      </c>
      <c r="T22" s="395">
        <f>SUMIF($CN:$CN,R22,$CO:$CO)</f>
        <v>10126</v>
      </c>
      <c r="U22" s="232"/>
      <c r="V22" s="397">
        <f>T22-((U22*11000)/667)</f>
        <v>10126</v>
      </c>
      <c r="W22" s="423">
        <f>AY80</f>
        <v>212403</v>
      </c>
      <c r="X22" s="423" t="str">
        <f>VLOOKUP(W22,CI:CM,3,0)</f>
        <v xml:space="preserve">LAMINA COSTEÑA BACANA 2000 TP D 0.195 </v>
      </c>
      <c r="Y22" s="395">
        <f>SUMIF($CN:$CN,W22,$CO:$CO)</f>
        <v>6497</v>
      </c>
      <c r="Z22" s="232"/>
      <c r="AA22" s="437">
        <f>Y22-((Z22*11000)/667)</f>
        <v>6497</v>
      </c>
      <c r="AB22" s="35"/>
      <c r="AC22" s="25"/>
      <c r="AD22" s="22"/>
      <c r="AE22" s="35"/>
      <c r="AF22" s="42"/>
      <c r="AG22" s="42"/>
      <c r="AH22" s="35"/>
      <c r="AI22" s="52" t="str">
        <f t="shared" ref="AI22:BC22" si="21">IFERROR(VLOOKUP(AI21,$CI:$CM,3,0)," ")</f>
        <v xml:space="preserve"> </v>
      </c>
      <c r="AJ22" s="52" t="str">
        <f t="shared" si="21"/>
        <v xml:space="preserve"> </v>
      </c>
      <c r="AK22" s="52" t="str">
        <f t="shared" si="21"/>
        <v xml:space="preserve"> </v>
      </c>
      <c r="AL22" s="52" t="str">
        <f t="shared" si="21"/>
        <v xml:space="preserve"> </v>
      </c>
      <c r="AM22" s="52" t="str">
        <f t="shared" si="21"/>
        <v xml:space="preserve"> </v>
      </c>
      <c r="AN22" s="52" t="str">
        <f t="shared" si="21"/>
        <v xml:space="preserve"> </v>
      </c>
      <c r="AO22" s="52" t="str">
        <f t="shared" si="21"/>
        <v xml:space="preserve"> </v>
      </c>
      <c r="AP22" s="52" t="str">
        <f t="shared" si="21"/>
        <v xml:space="preserve"> </v>
      </c>
      <c r="AQ22" s="52" t="str">
        <f t="shared" si="21"/>
        <v xml:space="preserve"> </v>
      </c>
      <c r="AR22" s="52" t="str">
        <f t="shared" si="21"/>
        <v xml:space="preserve"> </v>
      </c>
      <c r="AS22" s="52" t="str">
        <f t="shared" si="21"/>
        <v xml:space="preserve"> </v>
      </c>
      <c r="AT22" s="52" t="str">
        <f t="shared" si="21"/>
        <v xml:space="preserve"> </v>
      </c>
      <c r="AU22" s="52" t="str">
        <f t="shared" si="21"/>
        <v xml:space="preserve"> </v>
      </c>
      <c r="AV22" s="52" t="str">
        <f t="shared" ref="AV22" si="22">IFERROR(VLOOKUP(AV21,$CI:$CM,3,0)," ")</f>
        <v xml:space="preserve"> </v>
      </c>
      <c r="AW22" s="52" t="str">
        <f t="shared" si="21"/>
        <v>BASE DORADA LACADA 0.195</v>
      </c>
      <c r="AX22" s="52" t="str">
        <f t="shared" si="21"/>
        <v xml:space="preserve"> </v>
      </c>
      <c r="AY22" s="52" t="str">
        <f t="shared" si="21"/>
        <v>LAMINA LACADA TIPO A LG 0,17</v>
      </c>
      <c r="AZ22" s="52" t="str">
        <f t="shared" si="21"/>
        <v>LAMINA GEN BASE BLANCA LACADA TIPO D 0.195</v>
      </c>
      <c r="BA22" s="52" t="str">
        <f t="shared" si="21"/>
        <v xml:space="preserve"> </v>
      </c>
      <c r="BB22" s="52" t="str">
        <f t="shared" si="21"/>
        <v xml:space="preserve"> </v>
      </c>
      <c r="BC22" s="52" t="str">
        <f t="shared" si="21"/>
        <v xml:space="preserve"> </v>
      </c>
      <c r="BD22" s="61"/>
      <c r="BE22" s="52" t="str">
        <f>IFERROR(VLOOKUP(BE21,$CI:$CM,3,0)," ")</f>
        <v xml:space="preserve"> </v>
      </c>
      <c r="BF22" s="52" t="str">
        <f>IFERROR(VLOOKUP(BF21,$CI:$CM,3,0)," ")</f>
        <v xml:space="preserve"> </v>
      </c>
      <c r="BG22" s="52" t="str">
        <f>IFERROR(VLOOKUP(BG21,$CI:$CM,3,0)," ")</f>
        <v xml:space="preserve"> </v>
      </c>
      <c r="BH22" s="35"/>
      <c r="BI22" s="35"/>
      <c r="BJ22" s="54"/>
      <c r="BK22" s="54" t="s">
        <v>241</v>
      </c>
      <c r="BL22" s="54" t="s">
        <v>242</v>
      </c>
      <c r="BM22" s="54" t="s">
        <v>243</v>
      </c>
      <c r="BN22" s="54" t="s">
        <v>244</v>
      </c>
      <c r="BO22" s="33"/>
      <c r="BP22" s="33"/>
      <c r="BQ22" s="33"/>
      <c r="BR22" s="33"/>
      <c r="BS22" s="33"/>
      <c r="BT22" s="33"/>
      <c r="BU22" s="53" t="s">
        <v>245</v>
      </c>
      <c r="BV22" s="53"/>
      <c r="BW22" s="53"/>
      <c r="BX22" s="53" t="s">
        <v>330</v>
      </c>
      <c r="BY22" s="53"/>
      <c r="BZ22" s="39"/>
      <c r="CA22" s="39"/>
      <c r="CB22" s="39"/>
      <c r="CC22" s="39"/>
      <c r="CD22" s="39"/>
      <c r="CE22" s="47"/>
      <c r="CF22" s="45"/>
      <c r="CG22" s="432"/>
      <c r="CI22" s="60">
        <v>211860</v>
      </c>
      <c r="CJ22" s="60">
        <v>211877</v>
      </c>
      <c r="CK22" s="60" t="s">
        <v>246</v>
      </c>
      <c r="CL22" s="60">
        <v>210655</v>
      </c>
      <c r="CM22" s="60" t="str">
        <f t="shared" si="20"/>
        <v>LAMINA GEN LACADA SIZING TIPO D 0,195</v>
      </c>
      <c r="CN22" s="226">
        <v>210760</v>
      </c>
      <c r="CO22" s="226">
        <v>165</v>
      </c>
      <c r="CP22" s="224">
        <f>BB55</f>
        <v>0</v>
      </c>
      <c r="CQ22" s="224">
        <f t="shared" ref="CQ22:DI22" si="23">BC55</f>
        <v>0</v>
      </c>
      <c r="CR22" s="224">
        <f t="shared" si="23"/>
        <v>0</v>
      </c>
      <c r="CS22" s="224">
        <f t="shared" si="23"/>
        <v>0</v>
      </c>
      <c r="CT22" s="224">
        <f t="shared" si="23"/>
        <v>0</v>
      </c>
      <c r="CU22" s="224">
        <f t="shared" si="23"/>
        <v>212127</v>
      </c>
      <c r="CV22" s="224">
        <f t="shared" si="23"/>
        <v>0</v>
      </c>
      <c r="CW22" s="224">
        <f t="shared" si="23"/>
        <v>213996</v>
      </c>
      <c r="CX22" s="224">
        <f t="shared" si="23"/>
        <v>213637</v>
      </c>
      <c r="CY22" s="224">
        <f t="shared" si="23"/>
        <v>0</v>
      </c>
      <c r="CZ22" s="224">
        <f t="shared" si="23"/>
        <v>211208</v>
      </c>
      <c r="DA22" s="224">
        <f t="shared" si="23"/>
        <v>213738</v>
      </c>
      <c r="DB22" s="224">
        <f t="shared" si="23"/>
        <v>0</v>
      </c>
      <c r="DC22" s="224">
        <f t="shared" si="23"/>
        <v>0</v>
      </c>
      <c r="DD22" s="224">
        <f t="shared" si="23"/>
        <v>0</v>
      </c>
      <c r="DE22" s="224">
        <f t="shared" si="23"/>
        <v>211209</v>
      </c>
      <c r="DF22" s="224">
        <f t="shared" si="23"/>
        <v>212787</v>
      </c>
      <c r="DG22" s="224">
        <f t="shared" si="23"/>
        <v>212315</v>
      </c>
      <c r="DH22" s="224">
        <f t="shared" si="23"/>
        <v>0</v>
      </c>
      <c r="DI22" s="224">
        <f t="shared" si="23"/>
        <v>212403</v>
      </c>
      <c r="DJ22" s="224"/>
      <c r="DK22" s="224"/>
      <c r="DL22" s="224"/>
      <c r="DM22" s="224"/>
      <c r="DN22" s="224"/>
      <c r="DO22" s="224"/>
      <c r="DP22" s="224"/>
      <c r="DQ22" s="224"/>
      <c r="DR22" s="224"/>
    </row>
    <row r="23" spans="1:126" ht="13.5" customHeight="1" x14ac:dyDescent="0.2">
      <c r="A23" s="39"/>
      <c r="B23" s="39"/>
      <c r="C23" s="39"/>
      <c r="D23" s="108"/>
      <c r="E23" s="108"/>
      <c r="F23" s="108"/>
      <c r="G23" s="108"/>
      <c r="H23" s="116"/>
      <c r="I23" s="210"/>
      <c r="J23" s="211"/>
      <c r="K23" s="211"/>
      <c r="L23" s="211"/>
      <c r="M23" s="211"/>
      <c r="N23" s="211"/>
      <c r="O23" s="211"/>
      <c r="P23" s="212"/>
      <c r="Q23" s="42"/>
      <c r="R23" s="424"/>
      <c r="S23" s="424"/>
      <c r="T23" s="396"/>
      <c r="U23" s="233" t="s">
        <v>224</v>
      </c>
      <c r="V23" s="398"/>
      <c r="W23" s="424"/>
      <c r="X23" s="424"/>
      <c r="Y23" s="396"/>
      <c r="Z23" s="233" t="s">
        <v>224</v>
      </c>
      <c r="AA23" s="438"/>
      <c r="AB23" s="35"/>
      <c r="AC23" s="9"/>
      <c r="AD23" s="22"/>
      <c r="AE23" s="35"/>
      <c r="AF23" s="42"/>
      <c r="AG23" s="42"/>
      <c r="AH23" s="35"/>
      <c r="AI23" s="53" t="s">
        <v>76</v>
      </c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 t="s">
        <v>4</v>
      </c>
      <c r="AX23" s="53"/>
      <c r="AY23" s="289" t="s">
        <v>247</v>
      </c>
      <c r="AZ23" s="53" t="s">
        <v>2</v>
      </c>
      <c r="BA23" s="53"/>
      <c r="BB23" s="53"/>
      <c r="BC23" s="53"/>
      <c r="BD23" s="61"/>
      <c r="BE23" s="53"/>
      <c r="BF23" s="53"/>
      <c r="BG23" s="53"/>
      <c r="BH23" s="35"/>
      <c r="BI23" s="35"/>
      <c r="BJ23" s="45"/>
      <c r="BK23" s="45"/>
      <c r="BL23" s="45"/>
      <c r="BM23" s="45"/>
      <c r="BN23" s="45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9"/>
      <c r="CB23" s="39"/>
      <c r="CC23" s="39"/>
      <c r="CD23" s="39"/>
      <c r="CE23" s="40"/>
      <c r="CF23" s="45"/>
      <c r="CG23" s="432"/>
      <c r="CI23" s="60">
        <v>211393</v>
      </c>
      <c r="CJ23" s="60">
        <v>207371</v>
      </c>
      <c r="CK23" s="60" t="s">
        <v>29</v>
      </c>
      <c r="CL23" s="60">
        <v>210655</v>
      </c>
      <c r="CM23" s="60" t="str">
        <f t="shared" si="20"/>
        <v>LAMINA GEN LACADA SIZING TIPO D 0,195</v>
      </c>
      <c r="CN23" s="226">
        <v>0</v>
      </c>
      <c r="CO23" s="226">
        <v>0</v>
      </c>
      <c r="CP23" s="224">
        <f>BB54</f>
        <v>0</v>
      </c>
      <c r="CQ23" s="224">
        <f t="shared" ref="CQ23:DI23" si="24">BC54</f>
        <v>0</v>
      </c>
      <c r="CR23" s="224">
        <f t="shared" si="24"/>
        <v>0</v>
      </c>
      <c r="CS23" s="224">
        <f t="shared" si="24"/>
        <v>0</v>
      </c>
      <c r="CT23" s="224">
        <f t="shared" si="24"/>
        <v>0</v>
      </c>
      <c r="CU23" s="224">
        <f t="shared" si="24"/>
        <v>290</v>
      </c>
      <c r="CV23" s="224">
        <f t="shared" si="24"/>
        <v>0</v>
      </c>
      <c r="CW23" s="224">
        <f t="shared" si="24"/>
        <v>3060</v>
      </c>
      <c r="CX23" s="224">
        <f t="shared" si="24"/>
        <v>15780</v>
      </c>
      <c r="CY23" s="224">
        <f t="shared" si="24"/>
        <v>0</v>
      </c>
      <c r="CZ23" s="224">
        <f t="shared" si="24"/>
        <v>15323</v>
      </c>
      <c r="DA23" s="224">
        <f t="shared" si="24"/>
        <v>4004</v>
      </c>
      <c r="DB23" s="224">
        <f t="shared" si="24"/>
        <v>0</v>
      </c>
      <c r="DC23" s="224">
        <f t="shared" si="24"/>
        <v>0</v>
      </c>
      <c r="DD23" s="224">
        <f t="shared" si="24"/>
        <v>0</v>
      </c>
      <c r="DE23" s="224">
        <f t="shared" si="24"/>
        <v>1174</v>
      </c>
      <c r="DF23" s="224">
        <f t="shared" si="24"/>
        <v>1629</v>
      </c>
      <c r="DG23" s="224">
        <f t="shared" si="24"/>
        <v>16582</v>
      </c>
      <c r="DH23" s="224">
        <f t="shared" si="24"/>
        <v>0</v>
      </c>
      <c r="DI23" s="224">
        <f t="shared" si="24"/>
        <v>1692</v>
      </c>
    </row>
    <row r="24" spans="1:126" ht="13.5" customHeight="1" x14ac:dyDescent="0.15">
      <c r="A24" s="39"/>
      <c r="B24" s="39"/>
      <c r="C24" s="39"/>
      <c r="D24" s="39"/>
      <c r="E24" s="108"/>
      <c r="F24" s="108"/>
      <c r="G24" s="108"/>
      <c r="H24" s="116"/>
      <c r="I24" s="210"/>
      <c r="J24" s="211"/>
      <c r="K24" s="211"/>
      <c r="L24" s="211"/>
      <c r="M24" s="211"/>
      <c r="N24" s="211"/>
      <c r="O24" s="211"/>
      <c r="P24" s="212"/>
      <c r="Q24" s="35"/>
      <c r="R24" s="424"/>
      <c r="S24" s="424"/>
      <c r="T24" s="396"/>
      <c r="U24" s="256">
        <f>+((V22*667)/11000)</f>
        <v>614.00381818181813</v>
      </c>
      <c r="V24" s="398"/>
      <c r="W24" s="424"/>
      <c r="X24" s="424"/>
      <c r="Y24" s="396"/>
      <c r="Z24" s="256">
        <f>+((AA22*667)/11000)</f>
        <v>393.95445454545455</v>
      </c>
      <c r="AA24" s="438"/>
      <c r="AB24" s="35"/>
      <c r="AC24" s="62"/>
      <c r="AD24" s="22"/>
      <c r="AE24" s="35"/>
      <c r="AF24" s="35"/>
      <c r="AG24" s="35"/>
      <c r="AH24" s="35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 t="s">
        <v>248</v>
      </c>
      <c r="AX24" s="54"/>
      <c r="AY24" s="54" t="s">
        <v>249</v>
      </c>
      <c r="AZ24" s="54" t="s">
        <v>250</v>
      </c>
      <c r="BA24" s="54"/>
      <c r="BB24" s="54"/>
      <c r="BC24" s="54"/>
      <c r="BD24" s="63"/>
      <c r="BE24" s="54"/>
      <c r="BF24" s="54"/>
      <c r="BG24" s="54"/>
      <c r="BH24" s="35"/>
      <c r="BI24" s="35"/>
      <c r="BJ24" s="59"/>
      <c r="BK24" s="59"/>
      <c r="BL24" s="59"/>
      <c r="BM24" s="59"/>
      <c r="BN24" s="59"/>
      <c r="BO24" s="33"/>
      <c r="BP24" s="33"/>
      <c r="BQ24" s="33"/>
      <c r="BR24" s="33"/>
      <c r="BS24" s="33"/>
      <c r="BT24" s="33"/>
      <c r="BU24" s="43"/>
      <c r="BV24" s="43"/>
      <c r="BW24" s="43"/>
      <c r="BX24" s="43"/>
      <c r="BY24" s="43">
        <v>725</v>
      </c>
      <c r="BZ24" s="39"/>
      <c r="CA24" s="39"/>
      <c r="CB24" s="39"/>
      <c r="CC24" s="39"/>
      <c r="CD24" s="39"/>
      <c r="CE24" s="47"/>
      <c r="CF24" s="45"/>
      <c r="CG24" s="432" t="s">
        <v>251</v>
      </c>
      <c r="CI24" s="60">
        <v>211863</v>
      </c>
      <c r="CJ24" s="60">
        <v>211878</v>
      </c>
      <c r="CK24" s="60" t="s">
        <v>41</v>
      </c>
      <c r="CL24" s="60">
        <v>210655</v>
      </c>
      <c r="CM24" s="60" t="str">
        <f t="shared" si="20"/>
        <v>LAMINA GEN LACADA SIZING TIPO D 0,195</v>
      </c>
      <c r="CN24" s="226">
        <v>0</v>
      </c>
      <c r="CO24" s="226">
        <v>0</v>
      </c>
    </row>
    <row r="25" spans="1:126" ht="13.5" customHeight="1" x14ac:dyDescent="0.15">
      <c r="A25" s="39"/>
      <c r="B25" s="39"/>
      <c r="C25" s="39"/>
      <c r="D25" s="39"/>
      <c r="E25" s="108"/>
      <c r="F25" s="108"/>
      <c r="G25" s="108"/>
      <c r="H25" s="116"/>
      <c r="I25" s="213"/>
      <c r="J25" s="214"/>
      <c r="K25" s="214"/>
      <c r="L25" s="214"/>
      <c r="M25" s="214"/>
      <c r="N25" s="214"/>
      <c r="O25" s="214"/>
      <c r="P25" s="215"/>
      <c r="Q25" s="35"/>
      <c r="R25" s="42"/>
      <c r="S25" s="42"/>
      <c r="T25" s="42"/>
      <c r="U25" s="42"/>
      <c r="V25" s="42"/>
      <c r="W25" s="42"/>
      <c r="X25" s="42"/>
      <c r="Y25" s="42"/>
      <c r="Z25" s="42"/>
      <c r="AA25" s="35"/>
      <c r="AB25" s="35"/>
      <c r="AC25" s="9"/>
      <c r="AD25" s="22"/>
      <c r="AE25" s="64"/>
      <c r="AF25" s="64"/>
      <c r="AG25" s="64"/>
      <c r="AH25" s="35"/>
      <c r="AI25" s="56"/>
      <c r="AJ25" s="56"/>
      <c r="AK25" s="56"/>
      <c r="AL25" s="56"/>
      <c r="AM25" s="56"/>
      <c r="AN25" s="35"/>
      <c r="AO25" s="35"/>
      <c r="AP25" s="35"/>
      <c r="AQ25" s="35"/>
      <c r="AR25" s="35"/>
      <c r="AS25" s="35"/>
      <c r="AT25" s="33"/>
      <c r="AU25" s="35"/>
      <c r="AV25" s="33"/>
      <c r="AW25" s="33"/>
      <c r="AX25" s="33"/>
      <c r="AY25" s="33"/>
      <c r="AZ25" s="33"/>
      <c r="BA25" s="33"/>
      <c r="BB25" s="33"/>
      <c r="BC25" s="35"/>
      <c r="BD25" s="35"/>
      <c r="BE25" s="35"/>
      <c r="BF25" s="35"/>
      <c r="BG25" s="35"/>
      <c r="BH25" s="35"/>
      <c r="BI25" s="35"/>
      <c r="BJ25" s="51"/>
      <c r="BK25" s="51"/>
      <c r="BL25" s="51"/>
      <c r="BM25" s="51"/>
      <c r="BN25" s="51"/>
      <c r="BO25" s="33"/>
      <c r="BP25" s="33"/>
      <c r="BQ25" s="33"/>
      <c r="BR25" s="33"/>
      <c r="BS25" s="33"/>
      <c r="BT25" s="33"/>
      <c r="BU25" s="51"/>
      <c r="BV25" s="51"/>
      <c r="BW25" s="51"/>
      <c r="BX25" s="51"/>
      <c r="BY25" s="51">
        <v>212037</v>
      </c>
      <c r="BZ25" s="39"/>
      <c r="CA25" s="39"/>
      <c r="CB25" s="39"/>
      <c r="CC25" s="39"/>
      <c r="CD25" s="39"/>
      <c r="CE25" s="40"/>
      <c r="CF25" s="45"/>
      <c r="CG25" s="432"/>
      <c r="CI25" s="60">
        <v>210761</v>
      </c>
      <c r="CJ25" s="60">
        <v>208472</v>
      </c>
      <c r="CK25" s="60" t="s">
        <v>43</v>
      </c>
      <c r="CL25" s="60">
        <v>210654</v>
      </c>
      <c r="CM25" s="60" t="str">
        <f t="shared" si="20"/>
        <v>LAMINA GEN LACADA TIPO D 0,195</v>
      </c>
      <c r="CN25" s="226">
        <v>0</v>
      </c>
      <c r="CO25" s="226">
        <v>0</v>
      </c>
      <c r="CP25" s="224">
        <f>AS55</f>
        <v>0</v>
      </c>
      <c r="CQ25" s="224">
        <f t="shared" ref="CQ25:CS25" si="25">AT55</f>
        <v>0</v>
      </c>
      <c r="CR25" s="224">
        <f t="shared" si="25"/>
        <v>207301</v>
      </c>
      <c r="CS25" s="224">
        <f t="shared" si="25"/>
        <v>212604</v>
      </c>
    </row>
    <row r="26" spans="1:126" ht="13.5" customHeight="1" x14ac:dyDescent="0.15">
      <c r="A26" s="39"/>
      <c r="B26" s="39"/>
      <c r="C26" s="39"/>
      <c r="D26" s="39"/>
      <c r="E26" s="108"/>
      <c r="F26" s="108"/>
      <c r="G26" s="108"/>
      <c r="H26" s="116"/>
      <c r="I26" s="35"/>
      <c r="J26" s="35"/>
      <c r="K26" s="35"/>
      <c r="L26" s="35"/>
      <c r="M26" s="35"/>
      <c r="N26" s="35"/>
      <c r="O26" s="35"/>
      <c r="P26" s="35"/>
      <c r="Q26" s="35"/>
      <c r="R26" s="42"/>
      <c r="S26" s="42"/>
      <c r="T26" s="42"/>
      <c r="U26" s="35"/>
      <c r="V26" s="35"/>
      <c r="W26" s="35"/>
      <c r="X26" s="35"/>
      <c r="Y26" s="35"/>
      <c r="Z26" s="35"/>
      <c r="AA26" s="35"/>
      <c r="AB26" s="35"/>
      <c r="AC26" s="62"/>
      <c r="AD26" s="22"/>
      <c r="AE26" s="64"/>
      <c r="AF26" s="64"/>
      <c r="AG26" s="64"/>
      <c r="AH26" s="35"/>
      <c r="AI26" s="56"/>
      <c r="AJ26" s="56"/>
      <c r="AK26" s="56"/>
      <c r="AL26" s="56"/>
      <c r="AM26" s="56"/>
      <c r="AN26" s="35"/>
      <c r="AO26" s="35"/>
      <c r="AP26" s="35"/>
      <c r="AQ26" s="35"/>
      <c r="AR26" s="35"/>
      <c r="AS26" s="35"/>
      <c r="AT26" s="33"/>
      <c r="AU26" s="35"/>
      <c r="AV26" s="33"/>
      <c r="AW26" s="33"/>
      <c r="AX26" s="33"/>
      <c r="AY26" s="33"/>
      <c r="AZ26" s="33"/>
      <c r="BA26" s="33"/>
      <c r="BB26" s="33"/>
      <c r="BC26" s="35"/>
      <c r="BD26" s="35"/>
      <c r="BE26" s="35"/>
      <c r="BF26" s="35"/>
      <c r="BG26" s="35"/>
      <c r="BH26" s="35"/>
      <c r="BI26" s="35"/>
      <c r="BJ26" s="52" t="str">
        <f>IFERROR(VLOOKUP(BJ25,$CI:$CM,3,0)," ")</f>
        <v xml:space="preserve"> </v>
      </c>
      <c r="BK26" s="52" t="str">
        <f>IFERROR(VLOOKUP(BK25,$CI:$CM,3,0)," ")</f>
        <v xml:space="preserve"> </v>
      </c>
      <c r="BL26" s="52" t="str">
        <f>IFERROR(VLOOKUP(BL25,$CI:$CM,3,0)," ")</f>
        <v xml:space="preserve"> </v>
      </c>
      <c r="BM26" s="52" t="str">
        <f>IFERROR(VLOOKUP(BM25,$CI:$CM,3,0)," ")</f>
        <v xml:space="preserve"> </v>
      </c>
      <c r="BN26" s="52" t="str">
        <f>IFERROR(VLOOKUP(BN25,$CI:$CM,3,0)," ")</f>
        <v xml:space="preserve"> </v>
      </c>
      <c r="BO26" s="33"/>
      <c r="BP26" s="33"/>
      <c r="BQ26" s="33"/>
      <c r="BR26" s="33"/>
      <c r="BS26" s="33"/>
      <c r="BT26" s="33"/>
      <c r="BU26" s="52" t="str">
        <f>IFERROR(VLOOKUP(BU25,$CI:$CM,3,0)," ")</f>
        <v xml:space="preserve"> </v>
      </c>
      <c r="BV26" s="52" t="str">
        <f>IFERROR(VLOOKUP(BV25,$CI:$CM,3,0)," ")</f>
        <v xml:space="preserve"> </v>
      </c>
      <c r="BW26" s="52" t="str">
        <f>IFERROR(VLOOKUP(BW25,$CI:$CM,3,0)," ")</f>
        <v xml:space="preserve"> </v>
      </c>
      <c r="BX26" s="52" t="str">
        <f>IFERROR(VLOOKUP(BX25,$CI:$CM,3,0)," ")</f>
        <v xml:space="preserve"> </v>
      </c>
      <c r="BY26" s="52" t="str">
        <f>IFERROR(VLOOKUP(BY25,$CI:$CM,3,0)," ")</f>
        <v>BASE DORADA LACADA 0.195</v>
      </c>
      <c r="BZ26" s="39"/>
      <c r="CA26" s="39"/>
      <c r="CB26" s="39"/>
      <c r="CC26" s="39"/>
      <c r="CD26" s="39"/>
      <c r="CE26" s="47"/>
      <c r="CF26" s="45"/>
      <c r="CG26" s="432"/>
      <c r="CI26" s="60">
        <v>211792</v>
      </c>
      <c r="CJ26" s="60">
        <v>211824</v>
      </c>
      <c r="CK26" s="60" t="s">
        <v>252</v>
      </c>
      <c r="CL26" s="60">
        <v>210654</v>
      </c>
      <c r="CM26" s="60" t="str">
        <f t="shared" si="20"/>
        <v>LAMINA GEN LACADA TIPO D 0,195</v>
      </c>
      <c r="CN26" s="226">
        <v>0</v>
      </c>
      <c r="CO26" s="226">
        <v>0</v>
      </c>
      <c r="CP26" s="224">
        <f>AS54</f>
        <v>0</v>
      </c>
      <c r="CQ26" s="224">
        <f t="shared" ref="CQ26:CS26" si="26">AT54</f>
        <v>0</v>
      </c>
      <c r="CR26" s="224">
        <f t="shared" si="26"/>
        <v>7348</v>
      </c>
      <c r="CS26" s="224">
        <f t="shared" si="26"/>
        <v>2413</v>
      </c>
    </row>
    <row r="27" spans="1:126" ht="13.5" customHeight="1" x14ac:dyDescent="0.15">
      <c r="A27" s="39"/>
      <c r="B27" s="39"/>
      <c r="C27" s="39"/>
      <c r="D27" s="39"/>
      <c r="E27" s="108"/>
      <c r="F27" s="108"/>
      <c r="G27" s="108"/>
      <c r="H27" s="116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9"/>
      <c r="AD27" s="22"/>
      <c r="AE27" s="64"/>
      <c r="AF27" s="64"/>
      <c r="AG27" s="64"/>
      <c r="AH27" s="35"/>
      <c r="AI27" s="56"/>
      <c r="AJ27" s="56"/>
      <c r="AK27" s="56"/>
      <c r="AL27" s="56"/>
      <c r="AM27" s="56"/>
      <c r="AN27" s="35"/>
      <c r="AO27" s="35"/>
      <c r="AP27" s="35"/>
      <c r="AQ27" s="35"/>
      <c r="AR27" s="35"/>
      <c r="AS27" s="35"/>
      <c r="AT27" s="42"/>
      <c r="AU27" s="35"/>
      <c r="AV27" s="33"/>
      <c r="AW27" s="33"/>
      <c r="AX27" s="33"/>
      <c r="AY27" s="33"/>
      <c r="AZ27" s="33"/>
      <c r="BA27" s="33"/>
      <c r="BB27" s="33"/>
      <c r="BC27" s="35"/>
      <c r="BD27" s="35"/>
      <c r="BE27" s="35"/>
      <c r="BF27" s="35"/>
      <c r="BG27" s="35"/>
      <c r="BH27" s="35"/>
      <c r="BI27" s="35"/>
      <c r="BJ27" s="53"/>
      <c r="BK27" s="53"/>
      <c r="BL27" s="53"/>
      <c r="BM27" s="53"/>
      <c r="BN27" s="53"/>
      <c r="BO27" s="33"/>
      <c r="BP27" s="33"/>
      <c r="BQ27" s="33"/>
      <c r="BR27" s="33"/>
      <c r="BS27" s="33"/>
      <c r="BT27" s="33"/>
      <c r="BU27" s="53"/>
      <c r="BV27" s="53"/>
      <c r="BW27" s="53"/>
      <c r="BX27" s="53"/>
      <c r="BY27" s="53" t="s">
        <v>4</v>
      </c>
      <c r="BZ27" s="39"/>
      <c r="CA27" s="39"/>
      <c r="CB27" s="39"/>
      <c r="CC27" s="39"/>
      <c r="CD27" s="39"/>
      <c r="CE27" s="40"/>
      <c r="CF27" s="45"/>
      <c r="CG27" s="432"/>
      <c r="CI27" s="60">
        <v>212403</v>
      </c>
      <c r="CJ27" s="60">
        <v>212407</v>
      </c>
      <c r="CK27" s="60" t="s">
        <v>45</v>
      </c>
      <c r="CL27" s="60">
        <v>210654</v>
      </c>
      <c r="CM27" s="60" t="str">
        <f t="shared" si="20"/>
        <v>LAMINA GEN LACADA TIPO D 0,195</v>
      </c>
      <c r="CN27" s="226">
        <v>0</v>
      </c>
      <c r="CO27" s="226">
        <v>0</v>
      </c>
    </row>
    <row r="28" spans="1:126" ht="13.5" customHeight="1" x14ac:dyDescent="0.15">
      <c r="A28" s="39"/>
      <c r="B28" s="39"/>
      <c r="C28" s="39"/>
      <c r="D28" s="108"/>
      <c r="E28" s="108"/>
      <c r="F28" s="108"/>
      <c r="G28" s="108"/>
      <c r="H28" s="116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66"/>
      <c r="AD28" s="22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3"/>
      <c r="AU28" s="35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54"/>
      <c r="BK28" s="54"/>
      <c r="BL28" s="54"/>
      <c r="BM28" s="54"/>
      <c r="BN28" s="54"/>
      <c r="BO28" s="33"/>
      <c r="BP28" s="33"/>
      <c r="BQ28" s="33"/>
      <c r="BR28" s="33"/>
      <c r="BS28" s="33"/>
      <c r="BT28" s="33"/>
      <c r="BU28" s="77"/>
      <c r="BV28" s="77"/>
      <c r="BW28" s="67"/>
      <c r="BX28" s="67"/>
      <c r="BY28" s="67" t="s">
        <v>253</v>
      </c>
      <c r="BZ28" s="39"/>
      <c r="CA28" s="39"/>
      <c r="CB28" s="39"/>
      <c r="CC28" s="39"/>
      <c r="CD28" s="39"/>
      <c r="CE28" s="47"/>
      <c r="CF28" s="45"/>
      <c r="CG28" s="432"/>
      <c r="CI28" s="60">
        <v>211691</v>
      </c>
      <c r="CJ28" s="60">
        <v>211311</v>
      </c>
      <c r="CK28" s="60" t="s">
        <v>47</v>
      </c>
      <c r="CL28" s="60">
        <v>210654</v>
      </c>
      <c r="CM28" s="60" t="str">
        <f t="shared" si="20"/>
        <v>LAMINA GEN LACADA TIPO D 0,195</v>
      </c>
      <c r="CN28" s="226">
        <v>0</v>
      </c>
      <c r="CO28" s="226">
        <v>0</v>
      </c>
      <c r="CP28" s="224">
        <f>AS61</f>
        <v>206458</v>
      </c>
      <c r="CQ28" s="224">
        <f t="shared" ref="CQ28:DR28" si="27">AT61</f>
        <v>210760</v>
      </c>
      <c r="CR28" s="224">
        <f t="shared" si="27"/>
        <v>213637</v>
      </c>
      <c r="CS28" s="224">
        <f t="shared" si="27"/>
        <v>213367</v>
      </c>
      <c r="CT28" s="224">
        <f t="shared" si="27"/>
        <v>0</v>
      </c>
      <c r="CU28" s="224">
        <f t="shared" si="27"/>
        <v>0</v>
      </c>
      <c r="CV28" s="224">
        <f t="shared" si="27"/>
        <v>0</v>
      </c>
      <c r="CW28" s="224">
        <f t="shared" si="27"/>
        <v>0</v>
      </c>
      <c r="CX28" s="224">
        <f t="shared" si="27"/>
        <v>0</v>
      </c>
      <c r="CY28" s="224">
        <f t="shared" si="27"/>
        <v>0</v>
      </c>
      <c r="CZ28" s="224">
        <f t="shared" si="27"/>
        <v>0</v>
      </c>
      <c r="DA28" s="224">
        <f t="shared" si="27"/>
        <v>0</v>
      </c>
      <c r="DB28" s="224">
        <f t="shared" si="27"/>
        <v>0</v>
      </c>
      <c r="DC28" s="224">
        <f t="shared" si="27"/>
        <v>0</v>
      </c>
      <c r="DD28" s="224">
        <f t="shared" si="27"/>
        <v>211209</v>
      </c>
      <c r="DE28" s="224">
        <f t="shared" si="27"/>
        <v>0</v>
      </c>
      <c r="DF28" s="224">
        <f t="shared" si="27"/>
        <v>0</v>
      </c>
      <c r="DG28" s="224">
        <f t="shared" si="27"/>
        <v>0</v>
      </c>
      <c r="DH28" s="224">
        <f t="shared" si="27"/>
        <v>0</v>
      </c>
      <c r="DI28" s="224">
        <f t="shared" si="27"/>
        <v>0</v>
      </c>
      <c r="DJ28" s="224">
        <f t="shared" si="27"/>
        <v>0</v>
      </c>
      <c r="DK28" s="224">
        <f t="shared" si="27"/>
        <v>0</v>
      </c>
      <c r="DL28" s="224">
        <f t="shared" si="27"/>
        <v>0</v>
      </c>
      <c r="DM28" s="224">
        <f t="shared" si="27"/>
        <v>0</v>
      </c>
      <c r="DN28" s="224">
        <f t="shared" si="27"/>
        <v>0</v>
      </c>
      <c r="DO28" s="224">
        <f t="shared" si="27"/>
        <v>0</v>
      </c>
      <c r="DP28" s="224">
        <f t="shared" si="27"/>
        <v>0</v>
      </c>
      <c r="DQ28" s="224">
        <f t="shared" si="27"/>
        <v>0</v>
      </c>
      <c r="DR28" s="224">
        <f t="shared" si="27"/>
        <v>0</v>
      </c>
      <c r="DS28" s="224"/>
      <c r="DT28" s="224"/>
      <c r="DU28" s="224"/>
      <c r="DV28" s="224"/>
    </row>
    <row r="29" spans="1:126" ht="13.5" customHeight="1" x14ac:dyDescent="0.15">
      <c r="A29" s="39"/>
      <c r="B29" s="39"/>
      <c r="C29" s="39"/>
      <c r="D29" s="108"/>
      <c r="E29" s="108"/>
      <c r="F29" s="108"/>
      <c r="G29" s="108"/>
      <c r="H29" s="116"/>
      <c r="I29" s="375"/>
      <c r="J29" s="376"/>
      <c r="K29" s="376"/>
      <c r="L29" s="377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9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70"/>
      <c r="AP29" s="35"/>
      <c r="AQ29" s="35"/>
      <c r="AR29" s="35"/>
      <c r="AS29" s="35"/>
      <c r="AT29" s="42"/>
      <c r="AU29" s="35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71"/>
      <c r="BK29" s="71"/>
      <c r="BL29" s="71"/>
      <c r="BM29" s="71"/>
      <c r="BN29" s="71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9"/>
      <c r="CC29" s="39"/>
      <c r="CD29" s="39"/>
      <c r="CE29" s="40"/>
      <c r="CF29" s="45"/>
      <c r="CG29" s="432"/>
      <c r="CI29" s="60">
        <v>211672</v>
      </c>
      <c r="CJ29" s="60">
        <v>208078</v>
      </c>
      <c r="CK29" s="60" t="s">
        <v>49</v>
      </c>
      <c r="CL29" s="60">
        <v>211671</v>
      </c>
      <c r="CM29" s="60" t="str">
        <f t="shared" si="20"/>
        <v>LAMINA BASE AGUILA LACA TIPO D 0.195</v>
      </c>
      <c r="CN29" s="226">
        <v>0</v>
      </c>
      <c r="CO29" s="226">
        <v>0</v>
      </c>
      <c r="CP29" s="224">
        <f>AS60</f>
        <v>4693</v>
      </c>
      <c r="CQ29" s="224">
        <f t="shared" ref="CQ29:DR29" si="28">AT60</f>
        <v>4760</v>
      </c>
      <c r="CR29" s="224">
        <f t="shared" si="28"/>
        <v>1037</v>
      </c>
      <c r="CS29" s="224">
        <f t="shared" si="28"/>
        <v>520</v>
      </c>
      <c r="CT29" s="224">
        <f t="shared" si="28"/>
        <v>0</v>
      </c>
      <c r="CU29" s="224">
        <f t="shared" si="28"/>
        <v>0</v>
      </c>
      <c r="CV29" s="224">
        <f t="shared" si="28"/>
        <v>0</v>
      </c>
      <c r="CW29" s="224">
        <f t="shared" si="28"/>
        <v>0</v>
      </c>
      <c r="CX29" s="224">
        <f t="shared" si="28"/>
        <v>0</v>
      </c>
      <c r="CY29" s="224">
        <f t="shared" si="28"/>
        <v>0</v>
      </c>
      <c r="CZ29" s="224">
        <f t="shared" si="28"/>
        <v>0</v>
      </c>
      <c r="DA29" s="224">
        <f t="shared" si="28"/>
        <v>0</v>
      </c>
      <c r="DB29" s="224">
        <f t="shared" si="28"/>
        <v>0</v>
      </c>
      <c r="DC29" s="224">
        <f t="shared" si="28"/>
        <v>0</v>
      </c>
      <c r="DD29" s="224">
        <f t="shared" si="28"/>
        <v>1887</v>
      </c>
      <c r="DE29" s="224">
        <f t="shared" si="28"/>
        <v>0</v>
      </c>
      <c r="DF29" s="224">
        <f t="shared" si="28"/>
        <v>0</v>
      </c>
      <c r="DG29" s="224">
        <f t="shared" si="28"/>
        <v>0</v>
      </c>
      <c r="DH29" s="224">
        <f t="shared" si="28"/>
        <v>0</v>
      </c>
      <c r="DI29" s="224">
        <f t="shared" si="28"/>
        <v>0</v>
      </c>
      <c r="DJ29" s="224">
        <f t="shared" si="28"/>
        <v>0</v>
      </c>
      <c r="DK29" s="224">
        <f t="shared" si="28"/>
        <v>0</v>
      </c>
      <c r="DL29" s="224">
        <f t="shared" si="28"/>
        <v>0</v>
      </c>
      <c r="DM29" s="224">
        <f t="shared" si="28"/>
        <v>0</v>
      </c>
      <c r="DN29" s="224">
        <f t="shared" si="28"/>
        <v>0</v>
      </c>
      <c r="DO29" s="224">
        <f t="shared" si="28"/>
        <v>0</v>
      </c>
      <c r="DP29" s="224">
        <f t="shared" si="28"/>
        <v>0</v>
      </c>
      <c r="DQ29" s="224">
        <f t="shared" si="28"/>
        <v>0</v>
      </c>
      <c r="DR29" s="224">
        <f t="shared" si="28"/>
        <v>0</v>
      </c>
    </row>
    <row r="30" spans="1:126" ht="13.5" customHeight="1" x14ac:dyDescent="0.15">
      <c r="A30" s="39"/>
      <c r="B30" s="39"/>
      <c r="C30" s="39"/>
      <c r="D30" s="108"/>
      <c r="E30" s="108"/>
      <c r="F30" s="108"/>
      <c r="G30" s="108"/>
      <c r="H30" s="116"/>
      <c r="I30" s="378"/>
      <c r="J30" s="379"/>
      <c r="K30" s="379"/>
      <c r="L30" s="380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72"/>
      <c r="AP30" s="35"/>
      <c r="AQ30" s="35"/>
      <c r="AR30" s="35"/>
      <c r="AS30" s="35"/>
      <c r="AT30" s="42"/>
      <c r="AU30" s="35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71"/>
      <c r="BK30" s="71"/>
      <c r="BL30" s="71"/>
      <c r="BM30" s="71"/>
      <c r="BN30" s="71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9"/>
      <c r="CC30" s="39"/>
      <c r="CD30" s="39"/>
      <c r="CE30" s="47"/>
      <c r="CF30" s="45"/>
      <c r="CG30" s="432"/>
      <c r="CI30" s="60">
        <v>211305</v>
      </c>
      <c r="CJ30" s="60">
        <v>209630</v>
      </c>
      <c r="CK30" s="60" t="s">
        <v>51</v>
      </c>
      <c r="CL30" s="60">
        <v>210655</v>
      </c>
      <c r="CM30" s="60" t="str">
        <f t="shared" si="20"/>
        <v>LAMINA GEN LACADA SIZING TIPO D 0,195</v>
      </c>
      <c r="CN30" s="226">
        <v>0</v>
      </c>
      <c r="CO30" s="226">
        <v>0</v>
      </c>
    </row>
    <row r="31" spans="1:126" ht="13.5" customHeight="1" x14ac:dyDescent="0.15">
      <c r="A31" s="39"/>
      <c r="B31" s="39"/>
      <c r="C31" s="39"/>
      <c r="D31" s="108"/>
      <c r="E31" s="108"/>
      <c r="F31" s="108"/>
      <c r="G31" s="108"/>
      <c r="H31" s="116"/>
      <c r="I31" s="381"/>
      <c r="J31" s="382"/>
      <c r="K31" s="382"/>
      <c r="L31" s="38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4"/>
      <c r="AP31" s="35"/>
      <c r="AQ31" s="403"/>
      <c r="AR31" s="393"/>
      <c r="AS31" s="393"/>
      <c r="AT31" s="39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43"/>
      <c r="BR31" s="43"/>
      <c r="BS31" s="43"/>
      <c r="BT31" s="43">
        <v>218</v>
      </c>
      <c r="BU31" s="43">
        <v>452</v>
      </c>
      <c r="BV31" s="43">
        <v>1176</v>
      </c>
      <c r="BW31" s="43">
        <v>4207</v>
      </c>
      <c r="BX31" s="43">
        <v>6127</v>
      </c>
      <c r="BY31" s="43">
        <f>1400+1404+1878+1253+1880+1819-81</f>
        <v>9553</v>
      </c>
      <c r="BZ31" s="39"/>
      <c r="CA31" s="39"/>
      <c r="CB31" s="39"/>
      <c r="CC31" s="39"/>
      <c r="CD31" s="39"/>
      <c r="CE31" s="40"/>
      <c r="CF31" s="45"/>
      <c r="CG31" s="432"/>
      <c r="CI31" s="60">
        <v>212127</v>
      </c>
      <c r="CJ31" s="60">
        <v>212195</v>
      </c>
      <c r="CK31" s="60" t="s">
        <v>53</v>
      </c>
      <c r="CL31" s="60">
        <v>210655</v>
      </c>
      <c r="CM31" s="60" t="str">
        <f t="shared" si="20"/>
        <v>LAMINA GEN LACADA SIZING TIPO D 0,195</v>
      </c>
      <c r="CN31" s="226">
        <v>0</v>
      </c>
      <c r="CO31" s="226">
        <v>0</v>
      </c>
    </row>
    <row r="32" spans="1:126" ht="13.5" customHeight="1" x14ac:dyDescent="0.15">
      <c r="A32" s="39"/>
      <c r="B32" s="39"/>
      <c r="C32" s="39"/>
      <c r="D32" s="108"/>
      <c r="E32" s="108"/>
      <c r="F32" s="108"/>
      <c r="G32" s="108"/>
      <c r="H32" s="116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403"/>
      <c r="AK32" s="403"/>
      <c r="AL32" s="403"/>
      <c r="AM32" s="403"/>
      <c r="AN32" s="403"/>
      <c r="AO32" s="64"/>
      <c r="AP32" s="403"/>
      <c r="AQ32" s="393"/>
      <c r="AR32" s="393"/>
      <c r="AS32" s="39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51"/>
      <c r="BR32" s="51"/>
      <c r="BS32" s="51"/>
      <c r="BT32" s="51">
        <v>211209</v>
      </c>
      <c r="BU32" s="51">
        <v>206454</v>
      </c>
      <c r="BV32" s="51">
        <v>206453</v>
      </c>
      <c r="BW32" s="51">
        <v>207544</v>
      </c>
      <c r="BX32" s="51">
        <v>206455</v>
      </c>
      <c r="BY32" s="51">
        <v>210654</v>
      </c>
      <c r="BZ32" s="39"/>
      <c r="CA32" s="39"/>
      <c r="CB32" s="39"/>
      <c r="CC32" s="39"/>
      <c r="CD32" s="39"/>
      <c r="CE32" s="47"/>
      <c r="CF32" s="45"/>
      <c r="CG32" s="432"/>
      <c r="CI32" s="60">
        <v>212481</v>
      </c>
      <c r="CJ32" s="60">
        <v>209629</v>
      </c>
      <c r="CK32" s="60" t="s">
        <v>55</v>
      </c>
      <c r="CL32" s="60">
        <v>210655</v>
      </c>
      <c r="CM32" s="60" t="str">
        <f t="shared" si="20"/>
        <v>LAMINA GEN LACADA SIZING TIPO D 0,195</v>
      </c>
      <c r="CN32" s="226">
        <v>0</v>
      </c>
      <c r="CO32" s="226">
        <v>0</v>
      </c>
    </row>
    <row r="33" spans="1:115" ht="13.5" customHeight="1" x14ac:dyDescent="0.15">
      <c r="A33" s="39"/>
      <c r="B33" s="39"/>
      <c r="C33" s="39"/>
      <c r="D33" s="108"/>
      <c r="E33" s="108"/>
      <c r="F33" s="116"/>
      <c r="G33" s="116"/>
      <c r="H33" s="116"/>
      <c r="I33" s="75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52" t="str">
        <f t="shared" ref="BQ33:BT33" si="29">IFERROR(VLOOKUP(BQ32,$CI:$CM,3,0)," ")</f>
        <v xml:space="preserve"> </v>
      </c>
      <c r="BR33" s="52" t="str">
        <f t="shared" si="29"/>
        <v xml:space="preserve"> </v>
      </c>
      <c r="BS33" s="52" t="str">
        <f t="shared" si="29"/>
        <v xml:space="preserve"> </v>
      </c>
      <c r="BT33" s="52" t="str">
        <f t="shared" si="29"/>
        <v>LAMINA CORONA MARTE TIPO D 0.195</v>
      </c>
      <c r="BU33" s="52" t="str">
        <f t="shared" ref="BU33" si="30">IFERROR(VLOOKUP(BU32,$CI:$CM,3,0)," ")</f>
        <v>LAM BASE BLANCA LACADA TIPO D 0,17</v>
      </c>
      <c r="BV33" s="52" t="s">
        <v>225</v>
      </c>
      <c r="BW33" s="52" t="str">
        <f t="shared" ref="BW33" si="31">IFERROR(VLOOKUP(BW32,$CI:$CM,3,0)," ")</f>
        <v>LAMINA LACADA TIPO A LG 0,17</v>
      </c>
      <c r="BX33" s="52" t="str">
        <f t="shared" ref="BX33" si="32">IFERROR(VLOOKUP(BX32,$CI:$CM,3,0)," ")</f>
        <v>LAM GEN SIZING T/RENTE LACA TIPO D LG 0.17</v>
      </c>
      <c r="BY33" s="52" t="str">
        <f t="shared" ref="BY33" si="33">IFERROR(VLOOKUP(BY32,$CI:$CM,3,0)," ")</f>
        <v>LAMINA GEN LACADA TIPO D 0,195</v>
      </c>
      <c r="BZ33" s="39"/>
      <c r="CA33" s="39"/>
      <c r="CB33" s="39"/>
      <c r="CC33" s="39"/>
      <c r="CD33" s="39"/>
      <c r="CE33" s="40"/>
      <c r="CF33" s="45"/>
      <c r="CG33" s="432"/>
      <c r="CI33" s="60">
        <v>211306</v>
      </c>
      <c r="CJ33" s="60">
        <v>209631</v>
      </c>
      <c r="CK33" s="60" t="s">
        <v>57</v>
      </c>
      <c r="CL33" s="60">
        <v>210655</v>
      </c>
      <c r="CM33" s="60" t="str">
        <f t="shared" si="20"/>
        <v>LAMINA GEN LACADA SIZING TIPO D 0,195</v>
      </c>
      <c r="CN33" s="226">
        <v>0</v>
      </c>
      <c r="CO33" s="226">
        <v>0</v>
      </c>
    </row>
    <row r="34" spans="1:115" ht="13.5" customHeight="1" x14ac:dyDescent="0.2">
      <c r="A34" s="39"/>
      <c r="B34" s="39"/>
      <c r="C34" s="39"/>
      <c r="D34" s="108"/>
      <c r="E34" s="108"/>
      <c r="F34" s="108"/>
      <c r="G34" s="108"/>
      <c r="H34" s="108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53"/>
      <c r="BR34" s="53"/>
      <c r="BS34" s="53"/>
      <c r="BT34" s="53" t="s">
        <v>2</v>
      </c>
      <c r="BU34" s="53" t="s">
        <v>2</v>
      </c>
      <c r="BV34" s="53" t="s">
        <v>254</v>
      </c>
      <c r="BW34" s="289" t="s">
        <v>247</v>
      </c>
      <c r="BX34" s="53" t="s">
        <v>255</v>
      </c>
      <c r="BY34" s="53" t="s">
        <v>3</v>
      </c>
      <c r="BZ34" s="39"/>
      <c r="CA34" s="39"/>
      <c r="CB34" s="39"/>
      <c r="CC34" s="39"/>
      <c r="CD34" s="39"/>
      <c r="CE34" s="47"/>
      <c r="CF34" s="45"/>
      <c r="CG34" s="432"/>
      <c r="CI34" s="60">
        <v>212066</v>
      </c>
      <c r="CJ34" s="60">
        <v>212013</v>
      </c>
      <c r="CK34" s="60" t="s">
        <v>59</v>
      </c>
      <c r="CL34" s="60">
        <v>212037</v>
      </c>
      <c r="CM34" s="60" t="str">
        <f t="shared" si="20"/>
        <v>BASE DORADA LACADA 0.195</v>
      </c>
      <c r="CN34" s="226">
        <v>0</v>
      </c>
      <c r="CO34" s="226">
        <v>0</v>
      </c>
    </row>
    <row r="35" spans="1:115" ht="13.5" customHeight="1" x14ac:dyDescent="0.1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54"/>
      <c r="BR35" s="54"/>
      <c r="BS35" s="77"/>
      <c r="BT35" s="77" t="s">
        <v>256</v>
      </c>
      <c r="BU35" s="77" t="s">
        <v>256</v>
      </c>
      <c r="BV35" s="77" t="s">
        <v>257</v>
      </c>
      <c r="BW35" s="54" t="s">
        <v>258</v>
      </c>
      <c r="BX35" s="54" t="s">
        <v>259</v>
      </c>
      <c r="BY35" s="77" t="s">
        <v>260</v>
      </c>
      <c r="BZ35" s="39"/>
      <c r="CA35" s="39"/>
      <c r="CB35" s="39"/>
      <c r="CC35" s="39"/>
      <c r="CD35" s="39"/>
      <c r="CE35" s="40"/>
      <c r="CF35" s="45"/>
      <c r="CG35" s="432"/>
      <c r="CI35" s="60">
        <v>212068</v>
      </c>
      <c r="CJ35" s="60">
        <v>212014</v>
      </c>
      <c r="CK35" s="60" t="s">
        <v>61</v>
      </c>
      <c r="CL35" s="60">
        <v>212037</v>
      </c>
      <c r="CM35" s="60" t="str">
        <f t="shared" si="20"/>
        <v>BASE DORADA LACADA 0.195</v>
      </c>
      <c r="CN35" s="226">
        <v>0</v>
      </c>
      <c r="CO35" s="226">
        <v>0</v>
      </c>
    </row>
    <row r="36" spans="1:115" ht="13.5" customHeight="1" x14ac:dyDescent="0.1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47"/>
      <c r="CF36" s="45"/>
      <c r="CG36" s="432"/>
      <c r="CI36" s="60">
        <v>212019</v>
      </c>
      <c r="CJ36" s="60">
        <v>212016</v>
      </c>
      <c r="CK36" s="60" t="s">
        <v>63</v>
      </c>
      <c r="CL36" s="60">
        <v>212037</v>
      </c>
      <c r="CM36" s="60" t="str">
        <f t="shared" si="20"/>
        <v>BASE DORADA LACADA 0.195</v>
      </c>
      <c r="CN36" s="226">
        <v>0</v>
      </c>
      <c r="CO36" s="226">
        <v>0</v>
      </c>
      <c r="CQ36" s="272" t="s">
        <v>176</v>
      </c>
      <c r="CR36" s="508" t="s">
        <v>261</v>
      </c>
      <c r="CS36" s="509"/>
      <c r="CT36" s="509"/>
      <c r="CU36" s="510"/>
      <c r="CV36" s="272">
        <v>1</v>
      </c>
      <c r="CW36" s="272">
        <v>2</v>
      </c>
      <c r="CX36" s="272">
        <v>3</v>
      </c>
      <c r="CY36" s="272">
        <v>4</v>
      </c>
      <c r="CZ36" s="272">
        <v>5</v>
      </c>
      <c r="DA36" s="272">
        <v>6</v>
      </c>
      <c r="DB36" s="272">
        <v>7</v>
      </c>
      <c r="DC36" s="272">
        <v>8</v>
      </c>
      <c r="DD36" s="272">
        <v>9</v>
      </c>
      <c r="DE36" s="272">
        <v>10</v>
      </c>
      <c r="DF36" s="272">
        <v>11</v>
      </c>
      <c r="DG36" s="272">
        <v>12</v>
      </c>
      <c r="DH36" s="272">
        <v>13</v>
      </c>
      <c r="DI36" s="272" t="s">
        <v>262</v>
      </c>
      <c r="DJ36" s="272" t="s">
        <v>263</v>
      </c>
      <c r="DK36" s="272" t="s">
        <v>264</v>
      </c>
    </row>
    <row r="37" spans="1:115" ht="13.5" customHeight="1" x14ac:dyDescent="0.1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407"/>
      <c r="M37" s="78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80"/>
      <c r="BI37" s="39"/>
      <c r="BJ37" s="78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80"/>
      <c r="CA37" s="39"/>
      <c r="CB37" s="517" t="s">
        <v>265</v>
      </c>
      <c r="CC37" s="517"/>
      <c r="CD37" s="39"/>
      <c r="CE37" s="40"/>
      <c r="CF37" s="41"/>
      <c r="CG37" s="432"/>
      <c r="CI37" s="60">
        <v>212378</v>
      </c>
      <c r="CJ37" s="60">
        <v>212265</v>
      </c>
      <c r="CK37" s="60" t="s">
        <v>65</v>
      </c>
      <c r="CL37" s="60">
        <v>210655</v>
      </c>
      <c r="CM37" s="60" t="str">
        <f t="shared" si="20"/>
        <v>LAMINA GEN LACADA SIZING TIPO D 0,195</v>
      </c>
      <c r="CN37" s="226">
        <v>0</v>
      </c>
      <c r="CO37" s="226">
        <v>0</v>
      </c>
      <c r="CQ37" s="270">
        <v>213679</v>
      </c>
      <c r="CR37" s="399" t="str">
        <f>VLOOKUP(CQ37,$CI$4:$CK$167,3,0)</f>
        <v>LAMINA CLUB ESMERALDA PROMOCION 0.195</v>
      </c>
      <c r="CS37" s="399"/>
      <c r="CT37" s="399"/>
      <c r="CU37" s="399"/>
      <c r="CV37" s="281"/>
      <c r="CW37" s="282"/>
      <c r="CX37" s="282"/>
      <c r="CY37" s="283"/>
      <c r="CZ37" s="282"/>
      <c r="DA37" s="282"/>
      <c r="DB37" s="282"/>
      <c r="DC37" s="282"/>
      <c r="DD37" s="282"/>
      <c r="DE37" s="282"/>
      <c r="DF37" s="282"/>
      <c r="DG37" s="282"/>
      <c r="DH37" s="282"/>
      <c r="DI37" s="265">
        <f t="shared" ref="DI37:DI59" si="34">SUM(CV37:DH37)</f>
        <v>0</v>
      </c>
      <c r="DJ37" s="262"/>
      <c r="DK37" s="263">
        <f>+DJ37-DI37</f>
        <v>0</v>
      </c>
    </row>
    <row r="38" spans="1:115" ht="13.5" customHeight="1" x14ac:dyDescent="0.15">
      <c r="A38" s="39"/>
      <c r="B38" s="48"/>
      <c r="C38" s="48"/>
      <c r="D38" s="48"/>
      <c r="E38" s="48"/>
      <c r="F38" s="48"/>
      <c r="G38" s="48"/>
      <c r="H38" s="48"/>
      <c r="I38" s="48"/>
      <c r="J38" s="39"/>
      <c r="K38" s="39"/>
      <c r="L38" s="408"/>
      <c r="M38" s="81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3"/>
      <c r="BI38" s="39"/>
      <c r="BJ38" s="81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4"/>
      <c r="BV38" s="82"/>
      <c r="BW38" s="82"/>
      <c r="BX38" s="82"/>
      <c r="BY38" s="82"/>
      <c r="BZ38" s="85"/>
      <c r="CA38" s="39"/>
      <c r="CB38" s="517"/>
      <c r="CC38" s="517"/>
      <c r="CD38" s="39"/>
      <c r="CE38" s="47"/>
      <c r="CF38" s="41"/>
      <c r="CG38" s="432"/>
      <c r="CI38" s="60">
        <v>211217</v>
      </c>
      <c r="CJ38" s="60">
        <v>212080</v>
      </c>
      <c r="CK38" s="60" t="s">
        <v>67</v>
      </c>
      <c r="CL38" s="60">
        <v>211747</v>
      </c>
      <c r="CM38" s="60" t="str">
        <f t="shared" si="20"/>
        <v>LAM SIZING ALUM LACA OXY TIPO D 0.195</v>
      </c>
      <c r="CN38" s="226">
        <v>0</v>
      </c>
      <c r="CO38" s="226">
        <v>0</v>
      </c>
      <c r="CQ38" s="271">
        <v>213637</v>
      </c>
      <c r="CR38" s="399" t="str">
        <f t="shared" ref="CR38:CR59" si="35">VLOOKUP(CQ38,$CI$4:$CK$167,3,0)</f>
        <v>LAMINA AGUILA LGT PROMO ALFA TIP D 0.195</v>
      </c>
      <c r="CS38" s="399"/>
      <c r="CT38" s="399"/>
      <c r="CU38" s="399"/>
      <c r="CV38" s="284"/>
      <c r="CW38" s="284"/>
      <c r="CX38" s="284"/>
      <c r="CY38" s="284"/>
      <c r="CZ38" s="284"/>
      <c r="DA38" s="284"/>
      <c r="DB38" s="284"/>
      <c r="DC38" s="264"/>
      <c r="DD38" s="264"/>
      <c r="DE38" s="264"/>
      <c r="DF38" s="264"/>
      <c r="DG38" s="264"/>
      <c r="DH38" s="264"/>
      <c r="DI38" s="265">
        <f t="shared" si="34"/>
        <v>0</v>
      </c>
      <c r="DJ38" s="261"/>
      <c r="DK38" s="265">
        <f>+DJ38-DI38</f>
        <v>0</v>
      </c>
    </row>
    <row r="39" spans="1:115" ht="13.5" customHeight="1" x14ac:dyDescent="0.15">
      <c r="A39" s="39"/>
      <c r="B39" s="49">
        <v>1</v>
      </c>
      <c r="C39" s="49">
        <v>3</v>
      </c>
      <c r="D39" s="184">
        <v>2</v>
      </c>
      <c r="E39" s="184">
        <v>3</v>
      </c>
      <c r="F39" s="184">
        <v>3</v>
      </c>
      <c r="G39" s="184">
        <v>4</v>
      </c>
      <c r="H39" s="184">
        <v>5</v>
      </c>
      <c r="I39" s="184">
        <v>5</v>
      </c>
      <c r="J39" s="39"/>
      <c r="K39" s="39"/>
      <c r="L39" s="409"/>
      <c r="M39" s="86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8"/>
      <c r="BI39" s="39"/>
      <c r="BJ39" s="86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8"/>
      <c r="CA39" s="39"/>
      <c r="CB39" s="517"/>
      <c r="CC39" s="517"/>
      <c r="CD39" s="39"/>
      <c r="CE39" s="40"/>
      <c r="CF39" s="41"/>
      <c r="CG39" s="432"/>
      <c r="CI39" s="60">
        <v>211216</v>
      </c>
      <c r="CJ39" s="60">
        <v>208453</v>
      </c>
      <c r="CK39" s="60" t="s">
        <v>69</v>
      </c>
      <c r="CL39" s="60">
        <v>210654</v>
      </c>
      <c r="CM39" s="60" t="str">
        <f t="shared" si="20"/>
        <v>LAMINA GEN LACADA TIPO D 0,195</v>
      </c>
      <c r="CN39" s="226">
        <v>0</v>
      </c>
      <c r="CO39" s="226">
        <v>0</v>
      </c>
      <c r="CQ39" s="271">
        <v>213738</v>
      </c>
      <c r="CR39" s="399" t="str">
        <f t="shared" si="35"/>
        <v>LAMINA POKER RENOVACION</v>
      </c>
      <c r="CS39" s="399"/>
      <c r="CT39" s="399"/>
      <c r="CU39" s="399"/>
      <c r="CV39" s="284">
        <v>360</v>
      </c>
      <c r="CW39" s="284">
        <v>1301</v>
      </c>
      <c r="CX39" s="284">
        <v>940</v>
      </c>
      <c r="CY39" s="284">
        <v>451</v>
      </c>
      <c r="CZ39" s="284">
        <v>1918</v>
      </c>
      <c r="DA39" s="284">
        <v>1490</v>
      </c>
      <c r="DB39" s="284"/>
      <c r="DC39" s="264"/>
      <c r="DD39" s="264"/>
      <c r="DE39" s="264"/>
      <c r="DF39" s="264"/>
      <c r="DG39" s="264"/>
      <c r="DH39" s="264"/>
      <c r="DI39" s="265">
        <f t="shared" si="34"/>
        <v>6460</v>
      </c>
      <c r="DJ39" s="261"/>
      <c r="DK39" s="265">
        <f t="shared" ref="DK39:DK59" si="36">+DJ39-DI39</f>
        <v>-6460</v>
      </c>
    </row>
    <row r="40" spans="1:115" ht="15.75" customHeight="1" x14ac:dyDescent="0.1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517"/>
      <c r="CC40" s="517"/>
      <c r="CD40" s="39"/>
      <c r="CE40" s="47"/>
      <c r="CF40" s="41"/>
      <c r="CG40" s="517" t="s">
        <v>266</v>
      </c>
      <c r="CI40" s="60">
        <v>212315</v>
      </c>
      <c r="CJ40" s="60">
        <v>202732</v>
      </c>
      <c r="CK40" s="60" t="s">
        <v>71</v>
      </c>
      <c r="CL40" s="60">
        <v>210655</v>
      </c>
      <c r="CM40" s="60" t="str">
        <f t="shared" si="20"/>
        <v>LAMINA GEN LACADA SIZING TIPO D 0,195</v>
      </c>
      <c r="CN40" s="226">
        <v>0</v>
      </c>
      <c r="CO40" s="226">
        <v>0</v>
      </c>
      <c r="CQ40" s="271">
        <v>211306</v>
      </c>
      <c r="CR40" s="399" t="str">
        <f t="shared" si="35"/>
        <v>LAMINA CUSQUEÑA CALIDAD TIPO D 0.195</v>
      </c>
      <c r="CS40" s="399"/>
      <c r="CT40" s="399"/>
      <c r="CU40" s="399"/>
      <c r="CV40" s="284">
        <v>280</v>
      </c>
      <c r="CW40" s="284">
        <v>1252</v>
      </c>
      <c r="CX40" s="284"/>
      <c r="CY40" s="284"/>
      <c r="CZ40" s="284"/>
      <c r="DA40" s="284"/>
      <c r="DB40" s="284"/>
      <c r="DC40" s="264"/>
      <c r="DD40" s="264"/>
      <c r="DE40" s="264"/>
      <c r="DF40" s="264"/>
      <c r="DG40" s="264"/>
      <c r="DH40" s="264"/>
      <c r="DI40" s="266">
        <f t="shared" si="34"/>
        <v>1532</v>
      </c>
      <c r="DJ40" s="267"/>
      <c r="DK40" s="265">
        <f>+DJ40-DI40</f>
        <v>-1532</v>
      </c>
    </row>
    <row r="41" spans="1:115" ht="15.75" customHeight="1" x14ac:dyDescent="0.1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517"/>
      <c r="CC41" s="517"/>
      <c r="CD41" s="39"/>
      <c r="CE41" s="40"/>
      <c r="CF41" s="41"/>
      <c r="CG41" s="517"/>
      <c r="CI41" s="60">
        <v>212604</v>
      </c>
      <c r="CJ41" s="60">
        <v>212601</v>
      </c>
      <c r="CK41" s="60" t="s">
        <v>73</v>
      </c>
      <c r="CL41" s="60">
        <v>210654</v>
      </c>
      <c r="CM41" s="60" t="str">
        <f t="shared" si="20"/>
        <v>LAMINA GEN LACADA TIPO D 0,195</v>
      </c>
      <c r="CN41" s="226">
        <v>0</v>
      </c>
      <c r="CO41" s="226">
        <v>0</v>
      </c>
      <c r="CQ41" s="271">
        <v>212403</v>
      </c>
      <c r="CR41" s="399" t="str">
        <f t="shared" si="35"/>
        <v xml:space="preserve">LAMINA COSTEÑA BACANA 2000 TP D 0.195 </v>
      </c>
      <c r="CS41" s="399"/>
      <c r="CT41" s="399"/>
      <c r="CU41" s="399"/>
      <c r="CV41" s="284">
        <v>1367</v>
      </c>
      <c r="CW41" s="284">
        <v>1260</v>
      </c>
      <c r="CX41" s="284"/>
      <c r="CY41" s="284"/>
      <c r="CZ41" s="284"/>
      <c r="DA41" s="284"/>
      <c r="DB41" s="284"/>
      <c r="DC41" s="264"/>
      <c r="DD41" s="264"/>
      <c r="DE41" s="264"/>
      <c r="DF41" s="264"/>
      <c r="DG41" s="264"/>
      <c r="DH41" s="264"/>
      <c r="DI41" s="266">
        <f t="shared" si="34"/>
        <v>2627</v>
      </c>
      <c r="DJ41" s="267"/>
      <c r="DK41" s="265">
        <f t="shared" si="36"/>
        <v>-2627</v>
      </c>
    </row>
    <row r="42" spans="1:115" ht="14.25" customHeight="1" x14ac:dyDescent="0.15">
      <c r="A42" s="182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U42" s="89"/>
      <c r="BV42" s="89"/>
      <c r="BW42" s="89"/>
      <c r="BX42" s="89"/>
      <c r="BY42" s="89"/>
      <c r="BZ42" s="89"/>
      <c r="CA42" s="39"/>
      <c r="CB42" s="517"/>
      <c r="CC42" s="517"/>
      <c r="CD42" s="39"/>
      <c r="CE42" s="47"/>
      <c r="CF42" s="41"/>
      <c r="CG42" s="517"/>
      <c r="CI42" s="60">
        <v>211209</v>
      </c>
      <c r="CJ42" s="60">
        <v>208479</v>
      </c>
      <c r="CK42" s="60" t="s">
        <v>75</v>
      </c>
      <c r="CL42" s="60">
        <v>211749</v>
      </c>
      <c r="CM42" s="60" t="str">
        <f t="shared" si="20"/>
        <v>LAM BASE BLANCA LACA OXY TIPO 0.195</v>
      </c>
      <c r="CN42" s="226">
        <v>0</v>
      </c>
      <c r="CO42" s="226">
        <v>0</v>
      </c>
      <c r="CQ42" s="271">
        <v>210654</v>
      </c>
      <c r="CR42" s="399" t="str">
        <f t="shared" si="35"/>
        <v>LAMINA GEN LACADA TIPO D 0,195</v>
      </c>
      <c r="CS42" s="399"/>
      <c r="CT42" s="399"/>
      <c r="CU42" s="399"/>
      <c r="CV42" s="284">
        <v>1500</v>
      </c>
      <c r="CW42" s="284">
        <v>850</v>
      </c>
      <c r="CX42" s="284">
        <v>350</v>
      </c>
      <c r="CY42" s="284"/>
      <c r="CZ42" s="284"/>
      <c r="DA42" s="284"/>
      <c r="DB42" s="284"/>
      <c r="DC42" s="264"/>
      <c r="DD42" s="264"/>
      <c r="DE42" s="264"/>
      <c r="DF42" s="264"/>
      <c r="DG42" s="264"/>
      <c r="DH42" s="264"/>
      <c r="DI42" s="265">
        <f t="shared" si="34"/>
        <v>2700</v>
      </c>
      <c r="DJ42" s="261"/>
      <c r="DK42" s="265">
        <f t="shared" si="36"/>
        <v>-2700</v>
      </c>
    </row>
    <row r="43" spans="1:115" ht="15.75" customHeight="1" x14ac:dyDescent="0.15">
      <c r="A43" s="90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91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47"/>
      <c r="BO43" s="47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9"/>
      <c r="CB43" s="517"/>
      <c r="CC43" s="517"/>
      <c r="CD43" s="39"/>
      <c r="CE43" s="40"/>
      <c r="CF43" s="41"/>
      <c r="CG43" s="517"/>
      <c r="CI43" s="60">
        <v>212321</v>
      </c>
      <c r="CJ43" s="60">
        <v>206051</v>
      </c>
      <c r="CK43" s="60" t="s">
        <v>78</v>
      </c>
      <c r="CL43" s="60">
        <v>212357</v>
      </c>
      <c r="CM43" s="60" t="str">
        <f t="shared" si="20"/>
        <v>LAMINA LACADA BBC LG TIPO D0.195</v>
      </c>
      <c r="CN43" s="226">
        <v>0</v>
      </c>
      <c r="CO43" s="226">
        <v>0</v>
      </c>
      <c r="CQ43" s="271">
        <v>213677</v>
      </c>
      <c r="CR43" s="399" t="str">
        <f t="shared" si="35"/>
        <v>LAMINA LACADA SIZING PROM TIPO D 0.195</v>
      </c>
      <c r="CS43" s="399"/>
      <c r="CT43" s="399"/>
      <c r="CU43" s="399"/>
      <c r="CV43" s="284">
        <v>700</v>
      </c>
      <c r="CW43" s="284">
        <v>286</v>
      </c>
      <c r="CX43" s="284">
        <v>475</v>
      </c>
      <c r="CY43" s="284"/>
      <c r="CZ43" s="284"/>
      <c r="DA43" s="284"/>
      <c r="DB43" s="284"/>
      <c r="DC43" s="264"/>
      <c r="DD43" s="264"/>
      <c r="DE43" s="264"/>
      <c r="DF43" s="264"/>
      <c r="DG43" s="264"/>
      <c r="DH43" s="264"/>
      <c r="DI43" s="265">
        <f t="shared" si="34"/>
        <v>1461</v>
      </c>
      <c r="DJ43" s="261"/>
      <c r="DK43" s="265">
        <f t="shared" si="36"/>
        <v>-1461</v>
      </c>
    </row>
    <row r="44" spans="1:115" ht="15.75" customHeight="1" x14ac:dyDescent="0.15">
      <c r="A44" s="90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92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 t="s">
        <v>331</v>
      </c>
      <c r="BK44" s="33"/>
      <c r="BL44" s="33"/>
      <c r="BM44" s="33"/>
      <c r="BN44" s="47"/>
      <c r="BO44" s="47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9"/>
      <c r="CB44" s="517"/>
      <c r="CC44" s="517"/>
      <c r="CD44" s="39"/>
      <c r="CE44" s="40"/>
      <c r="CF44" s="41"/>
      <c r="CG44" s="517"/>
      <c r="CI44" s="60">
        <v>212751</v>
      </c>
      <c r="CJ44" s="60">
        <v>212738</v>
      </c>
      <c r="CK44" s="60" t="s">
        <v>80</v>
      </c>
      <c r="CL44" s="60">
        <v>210655</v>
      </c>
      <c r="CM44" s="60" t="str">
        <f t="shared" si="20"/>
        <v>LAMINA GEN LACADA SIZING TIPO D 0,195</v>
      </c>
      <c r="CN44" s="226">
        <v>0</v>
      </c>
      <c r="CO44" s="226">
        <v>0</v>
      </c>
      <c r="CQ44" s="271">
        <v>213732</v>
      </c>
      <c r="CR44" s="399" t="str">
        <f t="shared" si="35"/>
        <v>LAMINA COSTEÑA BACANA CENTRO TIPO D 0.195</v>
      </c>
      <c r="CS44" s="399"/>
      <c r="CT44" s="399"/>
      <c r="CU44" s="399"/>
      <c r="CV44" s="284"/>
      <c r="CW44" s="284"/>
      <c r="CX44" s="284"/>
      <c r="CY44" s="284"/>
      <c r="CZ44" s="284"/>
      <c r="DA44" s="284"/>
      <c r="DB44" s="284"/>
      <c r="DC44" s="264"/>
      <c r="DD44" s="264"/>
      <c r="DE44" s="264"/>
      <c r="DF44" s="264"/>
      <c r="DG44" s="264"/>
      <c r="DH44" s="264"/>
      <c r="DI44" s="265">
        <f t="shared" si="34"/>
        <v>0</v>
      </c>
      <c r="DJ44" s="261"/>
      <c r="DK44" s="265">
        <f t="shared" si="36"/>
        <v>0</v>
      </c>
    </row>
    <row r="45" spans="1:115" ht="15.75" customHeight="1" x14ac:dyDescent="0.25">
      <c r="A45" s="90"/>
      <c r="B45" s="374">
        <v>5</v>
      </c>
      <c r="C45" s="374">
        <v>5</v>
      </c>
      <c r="D45" s="374">
        <v>5</v>
      </c>
      <c r="E45" s="374">
        <v>5</v>
      </c>
      <c r="F45" s="48"/>
      <c r="G45" s="48"/>
      <c r="H45" s="48"/>
      <c r="I45" s="48"/>
      <c r="J45" s="93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33"/>
      <c r="X45" s="33"/>
      <c r="Y45" s="48"/>
      <c r="Z45" s="48"/>
      <c r="AA45" s="48"/>
      <c r="AB45" s="48"/>
      <c r="AC45" s="48"/>
      <c r="AD45" s="48"/>
      <c r="AE45" s="49"/>
      <c r="AF45" s="49">
        <v>2</v>
      </c>
      <c r="AG45" s="98"/>
      <c r="AH45" s="49">
        <v>4</v>
      </c>
      <c r="AI45" s="49">
        <v>4</v>
      </c>
      <c r="AJ45" s="49">
        <v>4</v>
      </c>
      <c r="AK45" s="92"/>
      <c r="AL45" s="244">
        <v>5</v>
      </c>
      <c r="AM45" s="244">
        <v>5</v>
      </c>
      <c r="AN45" s="244">
        <v>5</v>
      </c>
      <c r="AO45" s="244">
        <v>5</v>
      </c>
      <c r="AP45" s="244">
        <v>5</v>
      </c>
      <c r="AQ45" s="244">
        <v>5</v>
      </c>
      <c r="AR45" s="33"/>
      <c r="AS45" s="22"/>
      <c r="AT45" s="22"/>
      <c r="AU45" s="22"/>
      <c r="AV45" s="22"/>
      <c r="AW45" s="22"/>
      <c r="AX45" s="22"/>
      <c r="AY45" s="22"/>
      <c r="AZ45" s="22"/>
      <c r="BA45" s="38"/>
      <c r="BB45" s="33"/>
      <c r="BC45" s="22"/>
      <c r="BD45" s="22"/>
      <c r="BE45" s="22"/>
      <c r="BF45" s="33"/>
      <c r="BG45" s="33"/>
      <c r="BH45" s="33"/>
      <c r="BI45" s="33"/>
      <c r="BJ45" s="33"/>
      <c r="BK45" s="33"/>
      <c r="BL45" s="33"/>
      <c r="BM45" s="33"/>
      <c r="BN45" s="47"/>
      <c r="BO45" s="47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9"/>
      <c r="CB45" s="517"/>
      <c r="CC45" s="517"/>
      <c r="CD45" s="39"/>
      <c r="CE45" s="47"/>
      <c r="CF45" s="45"/>
      <c r="CG45" s="517"/>
      <c r="CI45" s="60">
        <v>212797</v>
      </c>
      <c r="CJ45" s="285">
        <v>212814</v>
      </c>
      <c r="CK45" s="60" t="s">
        <v>82</v>
      </c>
      <c r="CL45" s="60">
        <v>211749</v>
      </c>
      <c r="CM45" s="60" t="str">
        <f t="shared" si="20"/>
        <v>LAM BASE BLANCA LACA OXY TIPO 0.195</v>
      </c>
      <c r="CN45" s="226" cm="1">
        <f t="array" ref="CN45:CN69">TRANSPOSE(CP4:DN4)</f>
        <v>0</v>
      </c>
      <c r="CO45" s="226" cm="1">
        <f t="array" ref="CO45:CO69">TRANSPOSE(CP5:DN5)</f>
        <v>0</v>
      </c>
      <c r="CQ45" s="271">
        <v>211749</v>
      </c>
      <c r="CR45" s="399" t="str">
        <f>VLOOKUP(CQ45,$CI$1:$CK$167,3,0)</f>
        <v>LAM BASE BLANCA LACA OXY TIPO 0.195</v>
      </c>
      <c r="CS45" s="399"/>
      <c r="CT45" s="399"/>
      <c r="CU45" s="399"/>
      <c r="CV45" s="284">
        <v>2270</v>
      </c>
      <c r="CW45" s="284"/>
      <c r="CX45" s="284"/>
      <c r="CY45" s="284"/>
      <c r="CZ45" s="284"/>
      <c r="DA45" s="284"/>
      <c r="DB45" s="284"/>
      <c r="DC45" s="264"/>
      <c r="DD45" s="264"/>
      <c r="DE45" s="264"/>
      <c r="DF45" s="264"/>
      <c r="DG45" s="264"/>
      <c r="DH45" s="264"/>
      <c r="DI45" s="265">
        <f t="shared" si="34"/>
        <v>2270</v>
      </c>
      <c r="DJ45" s="261"/>
      <c r="DK45" s="265">
        <f t="shared" si="36"/>
        <v>-2270</v>
      </c>
    </row>
    <row r="46" spans="1:115" ht="15.75" customHeight="1" x14ac:dyDescent="0.25">
      <c r="A46" s="90"/>
      <c r="B46" s="374">
        <v>5</v>
      </c>
      <c r="C46" s="374">
        <v>5</v>
      </c>
      <c r="D46" s="374">
        <v>5</v>
      </c>
      <c r="E46" s="374">
        <v>5</v>
      </c>
      <c r="F46" s="48"/>
      <c r="G46" s="48"/>
      <c r="H46" s="48"/>
      <c r="I46" s="48"/>
      <c r="J46" s="95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33"/>
      <c r="X46" s="33"/>
      <c r="Y46" s="48"/>
      <c r="Z46" s="48"/>
      <c r="AA46" s="48"/>
      <c r="AB46" s="48"/>
      <c r="AC46" s="48"/>
      <c r="AD46" s="48"/>
      <c r="AE46" s="49"/>
      <c r="AF46" s="49"/>
      <c r="AG46" s="96"/>
      <c r="AH46" s="49">
        <v>5</v>
      </c>
      <c r="AI46" s="49">
        <v>5</v>
      </c>
      <c r="AJ46" s="49">
        <v>5</v>
      </c>
      <c r="AK46" s="92"/>
      <c r="AL46" s="244">
        <v>5</v>
      </c>
      <c r="AM46" s="244">
        <v>5</v>
      </c>
      <c r="AN46" s="244">
        <v>5</v>
      </c>
      <c r="AO46" s="244">
        <v>5</v>
      </c>
      <c r="AP46" s="244">
        <v>5</v>
      </c>
      <c r="AQ46" s="244">
        <v>5</v>
      </c>
      <c r="AR46" s="33"/>
      <c r="AS46" s="38">
        <v>20</v>
      </c>
      <c r="AT46" s="38">
        <v>19</v>
      </c>
      <c r="AU46" s="38">
        <v>18</v>
      </c>
      <c r="AV46" s="38">
        <v>17</v>
      </c>
      <c r="AW46" s="22"/>
      <c r="AX46" s="38" t="s">
        <v>267</v>
      </c>
      <c r="AY46" s="38"/>
      <c r="AZ46" s="38"/>
      <c r="BA46" s="22"/>
      <c r="BB46" s="33"/>
      <c r="BC46" s="38">
        <v>16</v>
      </c>
      <c r="BD46" s="38">
        <v>15</v>
      </c>
      <c r="BE46" s="38">
        <v>14</v>
      </c>
      <c r="BF46" s="94"/>
      <c r="BG46" s="38">
        <v>16</v>
      </c>
      <c r="BH46" s="38">
        <v>15</v>
      </c>
      <c r="BI46" s="38">
        <v>14</v>
      </c>
      <c r="BJ46" s="38">
        <v>13</v>
      </c>
      <c r="BK46" s="38">
        <v>12</v>
      </c>
      <c r="BL46" s="38">
        <v>11</v>
      </c>
      <c r="BM46" s="38">
        <v>10</v>
      </c>
      <c r="BN46" s="97"/>
      <c r="BO46" s="97"/>
      <c r="BP46" s="38">
        <v>6</v>
      </c>
      <c r="BQ46" s="38">
        <v>5</v>
      </c>
      <c r="BR46" s="38">
        <v>4</v>
      </c>
      <c r="BS46" s="38">
        <v>3</v>
      </c>
      <c r="BT46" s="94">
        <v>2</v>
      </c>
      <c r="BU46" s="94">
        <v>1</v>
      </c>
      <c r="BV46" s="22"/>
      <c r="BW46" s="33"/>
      <c r="BX46" s="33"/>
      <c r="BY46" s="33"/>
      <c r="BZ46" s="33"/>
      <c r="CA46" s="39"/>
      <c r="CB46" s="517"/>
      <c r="CC46" s="517"/>
      <c r="CD46" s="39"/>
      <c r="CE46" s="40"/>
      <c r="CF46" s="45"/>
      <c r="CG46" s="517"/>
      <c r="CI46" s="60">
        <v>212749</v>
      </c>
      <c r="CJ46" s="60">
        <v>212739</v>
      </c>
      <c r="CK46" s="60" t="s">
        <v>85</v>
      </c>
      <c r="CL46" s="60">
        <v>210655</v>
      </c>
      <c r="CM46" s="60" t="str">
        <f t="shared" si="20"/>
        <v>LAMINA GEN LACADA SIZING TIPO D 0,195</v>
      </c>
      <c r="CN46" s="226">
        <v>0</v>
      </c>
      <c r="CO46" s="226">
        <v>0</v>
      </c>
      <c r="CQ46" s="271">
        <v>212315</v>
      </c>
      <c r="CR46" s="399" t="str">
        <f t="shared" si="35"/>
        <v xml:space="preserve">LAMINA COSTEÑITA CBARRAS LG TIPOD.0.195 </v>
      </c>
      <c r="CS46" s="399"/>
      <c r="CT46" s="399"/>
      <c r="CU46" s="399"/>
      <c r="CV46" s="284">
        <v>1149</v>
      </c>
      <c r="CW46" s="284">
        <v>46</v>
      </c>
      <c r="CX46" s="284">
        <v>52</v>
      </c>
      <c r="CY46" s="284"/>
      <c r="CZ46" s="284"/>
      <c r="DA46" s="284"/>
      <c r="DB46" s="284"/>
      <c r="DC46" s="264"/>
      <c r="DD46" s="264"/>
      <c r="DE46" s="264"/>
      <c r="DF46" s="264"/>
      <c r="DG46" s="264"/>
      <c r="DH46" s="264"/>
      <c r="DI46" s="266">
        <f t="shared" si="34"/>
        <v>1247</v>
      </c>
      <c r="DJ46" s="267"/>
      <c r="DK46" s="265">
        <f t="shared" si="36"/>
        <v>-1247</v>
      </c>
    </row>
    <row r="47" spans="1:115" ht="15" customHeight="1" x14ac:dyDescent="0.25">
      <c r="A47" s="90"/>
      <c r="B47" s="48"/>
      <c r="C47" s="48"/>
      <c r="D47" s="48"/>
      <c r="E47" s="48"/>
      <c r="F47" s="48"/>
      <c r="G47" s="48"/>
      <c r="H47" s="48"/>
      <c r="I47" s="48"/>
      <c r="J47" s="2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33"/>
      <c r="X47" s="33"/>
      <c r="Y47" s="48"/>
      <c r="Z47" s="48"/>
      <c r="AA47" s="48"/>
      <c r="AB47" s="48"/>
      <c r="AC47" s="48"/>
      <c r="AD47" s="48"/>
      <c r="AE47" s="374">
        <v>3</v>
      </c>
      <c r="AF47" s="374">
        <v>5</v>
      </c>
      <c r="AG47" s="98"/>
      <c r="AH47" s="374">
        <v>5</v>
      </c>
      <c r="AI47" s="374">
        <v>5</v>
      </c>
      <c r="AJ47" s="374">
        <v>5</v>
      </c>
      <c r="AK47" s="92"/>
      <c r="AL47" s="244">
        <v>5</v>
      </c>
      <c r="AM47" s="244">
        <v>5</v>
      </c>
      <c r="AN47" s="244">
        <v>5</v>
      </c>
      <c r="AO47" s="244">
        <v>5</v>
      </c>
      <c r="AP47" s="244">
        <v>5</v>
      </c>
      <c r="AQ47" s="244">
        <v>5</v>
      </c>
      <c r="AR47" s="33"/>
      <c r="AS47" s="99"/>
      <c r="AT47" s="99"/>
      <c r="AU47" s="99">
        <v>7348</v>
      </c>
      <c r="AV47" s="99">
        <f>1211+1202</f>
        <v>2413</v>
      </c>
      <c r="AW47" s="22"/>
      <c r="AX47" s="100">
        <v>206890</v>
      </c>
      <c r="AY47" s="101" t="str">
        <f t="shared" ref="AY47:AY58" si="37">IFERROR(VLOOKUP(AX47,$CI:$CM,3,0)," ")</f>
        <v>LAMINA PONY MALTA TW</v>
      </c>
      <c r="AZ47" s="48">
        <v>1692</v>
      </c>
      <c r="BA47" s="22">
        <v>2</v>
      </c>
      <c r="BB47" s="33"/>
      <c r="BC47" s="243"/>
      <c r="BD47" s="43"/>
      <c r="BE47" s="43"/>
      <c r="BF47" s="94"/>
      <c r="BG47" s="43">
        <v>290</v>
      </c>
      <c r="BH47" s="43"/>
      <c r="BI47" s="43">
        <f>1557+1503</f>
        <v>3060</v>
      </c>
      <c r="BJ47" s="43">
        <f>1630+1590</f>
        <v>3220</v>
      </c>
      <c r="BK47" s="43"/>
      <c r="BL47" s="43">
        <f>1539+1485+1550</f>
        <v>4574</v>
      </c>
      <c r="BM47" s="43"/>
      <c r="BN47" s="97"/>
      <c r="BO47" s="97"/>
      <c r="BP47" s="43"/>
      <c r="BQ47" s="43"/>
      <c r="BR47" s="43">
        <v>1629</v>
      </c>
      <c r="BS47" s="43">
        <f>1665+1685+1657</f>
        <v>5007</v>
      </c>
      <c r="BT47" s="43"/>
      <c r="BU47" s="43">
        <v>1692</v>
      </c>
      <c r="BV47" s="279" t="s">
        <v>268</v>
      </c>
      <c r="BW47" s="100">
        <v>210655</v>
      </c>
      <c r="BX47" s="43" t="str">
        <f t="shared" ref="BX47:BX55" si="38">IFERROR(VLOOKUP(BW47,$CI:$CM,3,0)," ")</f>
        <v>LAMINA GEN LACADA SIZING TIPO D 0,195</v>
      </c>
      <c r="BY47" s="48">
        <v>1700</v>
      </c>
      <c r="BZ47" s="102">
        <f>SUM(BY47:BY47)</f>
        <v>1700</v>
      </c>
      <c r="CA47" s="39"/>
      <c r="CB47" s="517"/>
      <c r="CC47" s="517"/>
      <c r="CD47" s="39"/>
      <c r="CE47" s="47"/>
      <c r="CF47" s="45"/>
      <c r="CG47" s="517"/>
      <c r="CH47" s="239"/>
      <c r="CI47" s="60">
        <v>212694</v>
      </c>
      <c r="CJ47" s="60">
        <v>212703</v>
      </c>
      <c r="CK47" s="60" t="s">
        <v>88</v>
      </c>
      <c r="CL47" s="60">
        <v>212037</v>
      </c>
      <c r="CM47" s="60" t="str">
        <f t="shared" si="20"/>
        <v>BASE DORADA LACADA 0.195</v>
      </c>
      <c r="CN47" s="226">
        <v>0</v>
      </c>
      <c r="CO47" s="226">
        <v>0</v>
      </c>
      <c r="CQ47" s="271">
        <v>212127</v>
      </c>
      <c r="CR47" s="399" t="str">
        <f t="shared" si="35"/>
        <v xml:space="preserve">LAMINA YO ME CUIDO PERU ST TIPO D 0.195 </v>
      </c>
      <c r="CS47" s="399"/>
      <c r="CT47" s="399"/>
      <c r="CU47" s="399"/>
      <c r="CV47" s="329">
        <v>1400</v>
      </c>
      <c r="CW47" s="284">
        <v>1135</v>
      </c>
      <c r="CX47" s="284">
        <v>540</v>
      </c>
      <c r="CY47" s="284">
        <v>348</v>
      </c>
      <c r="CZ47" s="284">
        <v>1400</v>
      </c>
      <c r="DA47" s="284"/>
      <c r="DB47" s="284"/>
      <c r="DC47" s="280"/>
      <c r="DD47" s="280"/>
      <c r="DE47" s="280"/>
      <c r="DF47" s="264"/>
      <c r="DG47" s="264"/>
      <c r="DH47" s="264"/>
      <c r="DI47" s="265">
        <f t="shared" si="34"/>
        <v>4823</v>
      </c>
      <c r="DJ47" s="261"/>
      <c r="DK47" s="265">
        <f t="shared" si="36"/>
        <v>-4823</v>
      </c>
    </row>
    <row r="48" spans="1:115" ht="15" customHeight="1" x14ac:dyDescent="0.25">
      <c r="A48" s="90"/>
      <c r="B48" s="48"/>
      <c r="C48" s="48"/>
      <c r="D48" s="48"/>
      <c r="E48" s="48"/>
      <c r="F48" s="48"/>
      <c r="G48" s="48"/>
      <c r="H48" s="48"/>
      <c r="I48" s="48"/>
      <c r="J48" s="95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33"/>
      <c r="X48" s="33"/>
      <c r="Y48" s="48"/>
      <c r="Z48" s="48"/>
      <c r="AA48" s="48"/>
      <c r="AB48" s="48"/>
      <c r="AC48" s="48"/>
      <c r="AD48" s="48"/>
      <c r="AE48" s="374">
        <v>3</v>
      </c>
      <c r="AF48" s="374">
        <v>5</v>
      </c>
      <c r="AG48" s="96"/>
      <c r="AH48" s="374">
        <v>5</v>
      </c>
      <c r="AI48" s="374">
        <v>5</v>
      </c>
      <c r="AJ48" s="374">
        <v>5</v>
      </c>
      <c r="AK48" s="92"/>
      <c r="AL48" s="244">
        <v>5</v>
      </c>
      <c r="AM48" s="244">
        <v>5</v>
      </c>
      <c r="AN48" s="244">
        <v>5</v>
      </c>
      <c r="AO48" s="244">
        <v>5</v>
      </c>
      <c r="AP48" s="244">
        <v>4</v>
      </c>
      <c r="AQ48" s="244">
        <v>2</v>
      </c>
      <c r="AR48" s="33"/>
      <c r="AS48" s="99"/>
      <c r="AT48" s="99"/>
      <c r="AU48" s="99"/>
      <c r="AV48" s="99"/>
      <c r="AW48" s="274"/>
      <c r="AX48" s="100">
        <v>210128</v>
      </c>
      <c r="AY48" s="101" t="str">
        <f t="shared" si="37"/>
        <v xml:space="preserve">LAMINA POKER BBC PURAMALTA TIPO D 0.17 </v>
      </c>
      <c r="AZ48" s="48">
        <v>1630</v>
      </c>
      <c r="BA48" s="22">
        <v>1</v>
      </c>
      <c r="BB48" s="33"/>
      <c r="BC48" s="243"/>
      <c r="BD48" s="43"/>
      <c r="BE48" s="43"/>
      <c r="BF48" s="94"/>
      <c r="BG48" s="43"/>
      <c r="BH48" s="43"/>
      <c r="BI48" s="43"/>
      <c r="BJ48" s="43">
        <v>1690</v>
      </c>
      <c r="BK48" s="43"/>
      <c r="BL48" s="43">
        <f>1550+1547+1500</f>
        <v>4597</v>
      </c>
      <c r="BM48" s="43">
        <v>1608</v>
      </c>
      <c r="BN48" s="97"/>
      <c r="BO48" s="97"/>
      <c r="BP48" s="43"/>
      <c r="BQ48" s="43">
        <f>1691-857</f>
        <v>834</v>
      </c>
      <c r="BR48" s="43"/>
      <c r="BS48" s="43">
        <f>1680+1607+1551</f>
        <v>4838</v>
      </c>
      <c r="BT48" s="43"/>
      <c r="BU48" s="43"/>
      <c r="BV48" s="279" t="s">
        <v>268</v>
      </c>
      <c r="BW48" s="100">
        <v>212403</v>
      </c>
      <c r="BX48" s="43" t="str">
        <f t="shared" si="38"/>
        <v xml:space="preserve">LAMINA COSTEÑA BACANA 2000 TP D 0.195 </v>
      </c>
      <c r="BY48" s="48">
        <f>163+150</f>
        <v>313</v>
      </c>
      <c r="BZ48" s="102">
        <f t="shared" ref="BZ48:BZ55" si="39">SUM(BY48:BY48)</f>
        <v>313</v>
      </c>
      <c r="CA48" s="39"/>
      <c r="CB48" s="517"/>
      <c r="CC48" s="517"/>
      <c r="CD48" s="39"/>
      <c r="CE48" s="40"/>
      <c r="CF48" s="45"/>
      <c r="CG48" s="517"/>
      <c r="CI48" s="60">
        <v>212917</v>
      </c>
      <c r="CJ48" s="60">
        <v>212916</v>
      </c>
      <c r="CK48" s="60" t="s">
        <v>90</v>
      </c>
      <c r="CL48" s="60">
        <v>211671</v>
      </c>
      <c r="CM48" s="60" t="str">
        <f t="shared" si="20"/>
        <v>LAMINA BASE AGUILA LACA TIPO D 0.195</v>
      </c>
      <c r="CN48" s="226">
        <v>0</v>
      </c>
      <c r="CO48" s="226">
        <v>0</v>
      </c>
      <c r="CQ48" s="271">
        <v>211208</v>
      </c>
      <c r="CR48" s="399" t="str">
        <f t="shared" si="35"/>
        <v>LAMINA PILSEN GENERICA TIP D 0.195</v>
      </c>
      <c r="CS48" s="399"/>
      <c r="CT48" s="399"/>
      <c r="CU48" s="399"/>
      <c r="CV48" s="284"/>
      <c r="CW48" s="284"/>
      <c r="CX48" s="284"/>
      <c r="CY48" s="284"/>
      <c r="CZ48" s="284"/>
      <c r="DA48" s="284"/>
      <c r="DB48" s="284"/>
      <c r="DC48" s="264"/>
      <c r="DD48" s="264"/>
      <c r="DE48" s="264"/>
      <c r="DF48" s="264"/>
      <c r="DG48" s="264"/>
      <c r="DH48" s="264"/>
      <c r="DI48" s="265">
        <f t="shared" si="34"/>
        <v>0</v>
      </c>
      <c r="DJ48" s="261"/>
      <c r="DK48" s="265">
        <f t="shared" si="36"/>
        <v>0</v>
      </c>
    </row>
    <row r="49" spans="1:115" ht="15.75" customHeight="1" x14ac:dyDescent="0.25">
      <c r="A49" s="90"/>
      <c r="B49" s="48"/>
      <c r="C49" s="48"/>
      <c r="D49" s="48"/>
      <c r="E49" s="48"/>
      <c r="F49" s="48"/>
      <c r="G49" s="48"/>
      <c r="H49" s="48"/>
      <c r="I49" s="48"/>
      <c r="J49" s="2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33"/>
      <c r="X49" s="33"/>
      <c r="Y49" s="48"/>
      <c r="Z49" s="48"/>
      <c r="AA49" s="288">
        <v>2</v>
      </c>
      <c r="AB49" s="288">
        <v>5</v>
      </c>
      <c r="AC49" s="288">
        <v>5</v>
      </c>
      <c r="AD49" s="288">
        <v>5</v>
      </c>
      <c r="AE49" s="288">
        <v>5</v>
      </c>
      <c r="AF49" s="288">
        <v>5</v>
      </c>
      <c r="AG49" s="98"/>
      <c r="AH49" s="288">
        <v>5</v>
      </c>
      <c r="AI49" s="288">
        <v>5</v>
      </c>
      <c r="AJ49" s="288">
        <v>5</v>
      </c>
      <c r="AK49" s="92"/>
      <c r="AL49" s="244">
        <v>5</v>
      </c>
      <c r="AM49" s="244">
        <v>5</v>
      </c>
      <c r="AN49" s="244">
        <v>5</v>
      </c>
      <c r="AO49" s="244">
        <v>5</v>
      </c>
      <c r="AP49" s="244">
        <v>4</v>
      </c>
      <c r="AQ49" s="244">
        <v>0</v>
      </c>
      <c r="AR49" s="33"/>
      <c r="AS49" s="99"/>
      <c r="AT49" s="99"/>
      <c r="AU49" s="99"/>
      <c r="AV49" s="99"/>
      <c r="AW49" s="274"/>
      <c r="AX49" s="100">
        <v>209962</v>
      </c>
      <c r="AY49" s="101" t="str">
        <f t="shared" si="37"/>
        <v xml:space="preserve">LAMINA PACIFICO  PERU </v>
      </c>
      <c r="AZ49" s="48">
        <v>500</v>
      </c>
      <c r="BA49" s="22">
        <v>5</v>
      </c>
      <c r="BB49" s="33"/>
      <c r="BC49" s="243"/>
      <c r="BD49" s="43"/>
      <c r="BE49" s="43"/>
      <c r="BF49" s="94"/>
      <c r="BG49" s="43"/>
      <c r="BH49" s="43"/>
      <c r="BI49" s="43"/>
      <c r="BJ49" s="43">
        <f>1681+1669</f>
        <v>3350</v>
      </c>
      <c r="BK49" s="43"/>
      <c r="BL49" s="43">
        <f>1586+1573+1540</f>
        <v>4699</v>
      </c>
      <c r="BM49" s="43">
        <f>740-98</f>
        <v>642</v>
      </c>
      <c r="BN49" s="97"/>
      <c r="BO49" s="97"/>
      <c r="BP49" s="43"/>
      <c r="BQ49" s="43">
        <v>340</v>
      </c>
      <c r="BR49" s="43"/>
      <c r="BS49" s="43">
        <f>1768+1669+1660</f>
        <v>5097</v>
      </c>
      <c r="BT49" s="43"/>
      <c r="BU49" s="43"/>
      <c r="BV49" s="279" t="s">
        <v>268</v>
      </c>
      <c r="BW49" s="100">
        <v>212127</v>
      </c>
      <c r="BX49" s="43" t="str">
        <f t="shared" si="38"/>
        <v xml:space="preserve">LAMINA YO ME CUIDO PERU ST TIPO D 0.195 </v>
      </c>
      <c r="BY49" s="48">
        <f>120+767</f>
        <v>887</v>
      </c>
      <c r="BZ49" s="102">
        <f t="shared" si="39"/>
        <v>887</v>
      </c>
      <c r="CA49" s="39"/>
      <c r="CB49" s="517"/>
      <c r="CC49" s="517"/>
      <c r="CD49" s="39"/>
      <c r="CE49" s="47"/>
      <c r="CF49" s="45"/>
      <c r="CG49" s="517"/>
      <c r="CI49" s="60">
        <v>213210</v>
      </c>
      <c r="CJ49" s="60">
        <v>213208</v>
      </c>
      <c r="CK49" s="60" t="s">
        <v>92</v>
      </c>
      <c r="CL49" s="60">
        <v>210655</v>
      </c>
      <c r="CM49" s="60" t="str">
        <f t="shared" si="20"/>
        <v>LAMINA GEN LACADA SIZING TIPO D 0,195</v>
      </c>
      <c r="CN49" s="226">
        <v>0</v>
      </c>
      <c r="CO49" s="226">
        <v>0</v>
      </c>
      <c r="CQ49" s="271">
        <v>211209</v>
      </c>
      <c r="CR49" s="399" t="str">
        <f t="shared" si="35"/>
        <v>LAMINA CORONA MARTE TIPO D 0.195</v>
      </c>
      <c r="CS49" s="399"/>
      <c r="CT49" s="399"/>
      <c r="CU49" s="399"/>
      <c r="CV49" s="284">
        <v>352</v>
      </c>
      <c r="CW49" s="284">
        <v>1606</v>
      </c>
      <c r="CX49" s="284">
        <v>475</v>
      </c>
      <c r="CY49" s="284"/>
      <c r="CZ49" s="284"/>
      <c r="DA49" s="284"/>
      <c r="DB49" s="284"/>
      <c r="DC49" s="264"/>
      <c r="DD49" s="264"/>
      <c r="DE49" s="264"/>
      <c r="DF49" s="264"/>
      <c r="DG49" s="264"/>
      <c r="DH49" s="264"/>
      <c r="DI49" s="268">
        <f t="shared" si="34"/>
        <v>2433</v>
      </c>
      <c r="DJ49" s="269"/>
      <c r="DK49" s="265">
        <f t="shared" si="36"/>
        <v>-2433</v>
      </c>
    </row>
    <row r="50" spans="1:115" ht="15.75" customHeight="1" x14ac:dyDescent="0.25">
      <c r="A50" s="90"/>
      <c r="B50" s="48"/>
      <c r="C50" s="48"/>
      <c r="D50" s="48"/>
      <c r="E50" s="48"/>
      <c r="F50" s="48"/>
      <c r="G50" s="48"/>
      <c r="H50" s="48"/>
      <c r="I50" s="48"/>
      <c r="J50" s="95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33"/>
      <c r="X50" s="33"/>
      <c r="Y50" s="48"/>
      <c r="Z50" s="48"/>
      <c r="AA50" s="288">
        <v>3</v>
      </c>
      <c r="AB50" s="288">
        <v>5</v>
      </c>
      <c r="AC50" s="288">
        <v>5</v>
      </c>
      <c r="AD50" s="288">
        <v>5</v>
      </c>
      <c r="AE50" s="288">
        <v>5</v>
      </c>
      <c r="AF50" s="288">
        <v>5</v>
      </c>
      <c r="AG50" s="96"/>
      <c r="AH50" s="288">
        <v>5</v>
      </c>
      <c r="AI50" s="288">
        <v>5</v>
      </c>
      <c r="AJ50" s="288">
        <v>5</v>
      </c>
      <c r="AK50" s="92"/>
      <c r="AL50" s="244">
        <v>5</v>
      </c>
      <c r="AM50" s="244">
        <v>5</v>
      </c>
      <c r="AN50" s="244">
        <v>5</v>
      </c>
      <c r="AO50" s="244">
        <v>5</v>
      </c>
      <c r="AP50" s="244">
        <v>4</v>
      </c>
      <c r="AQ50" s="244">
        <v>0</v>
      </c>
      <c r="AR50" s="33"/>
      <c r="AS50" s="99"/>
      <c r="AT50" s="99"/>
      <c r="AU50" s="99"/>
      <c r="AV50" s="99"/>
      <c r="AW50" s="274"/>
      <c r="AX50" s="100">
        <v>204388</v>
      </c>
      <c r="AY50" s="101" t="str">
        <f t="shared" si="37"/>
        <v>LAMINA REDDS TIPO D LG FASE II</v>
      </c>
      <c r="AZ50" s="48">
        <v>43</v>
      </c>
      <c r="BA50" s="22">
        <v>10</v>
      </c>
      <c r="BB50" s="33"/>
      <c r="BC50" s="43"/>
      <c r="BD50" s="43"/>
      <c r="BE50" s="43"/>
      <c r="BF50" s="94"/>
      <c r="BG50" s="43"/>
      <c r="BH50" s="43"/>
      <c r="BI50" s="43"/>
      <c r="BJ50" s="43">
        <v>1690</v>
      </c>
      <c r="BK50" s="43"/>
      <c r="BL50" s="43">
        <v>1453</v>
      </c>
      <c r="BM50" s="43">
        <v>556</v>
      </c>
      <c r="BN50" s="97"/>
      <c r="BO50" s="97"/>
      <c r="BP50" s="43"/>
      <c r="BQ50" s="43"/>
      <c r="BR50" s="43"/>
      <c r="BS50" s="43">
        <v>1640</v>
      </c>
      <c r="BT50" s="43"/>
      <c r="BU50" s="43"/>
      <c r="BV50" s="279" t="s">
        <v>268</v>
      </c>
      <c r="BW50" s="100">
        <v>212127</v>
      </c>
      <c r="BX50" s="43" t="str">
        <f t="shared" si="38"/>
        <v xml:space="preserve">LAMINA YO ME CUIDO PERU ST TIPO D 0.195 </v>
      </c>
      <c r="BY50" s="48">
        <v>1216</v>
      </c>
      <c r="BZ50" s="102">
        <f t="shared" si="39"/>
        <v>1216</v>
      </c>
      <c r="CA50" s="39"/>
      <c r="CB50" s="517"/>
      <c r="CC50" s="517"/>
      <c r="CD50" s="39"/>
      <c r="CE50" s="40"/>
      <c r="CF50" s="65"/>
      <c r="CG50" s="517"/>
      <c r="CI50" s="60">
        <v>213209</v>
      </c>
      <c r="CJ50" s="60">
        <v>213208</v>
      </c>
      <c r="CK50" s="60" t="s">
        <v>93</v>
      </c>
      <c r="CL50" s="60">
        <v>210654</v>
      </c>
      <c r="CM50" s="60" t="str">
        <f t="shared" si="20"/>
        <v>LAMINA GEN LACADA TIPO D 0,195</v>
      </c>
      <c r="CN50" s="226">
        <v>0</v>
      </c>
      <c r="CO50" s="226">
        <v>0</v>
      </c>
      <c r="CQ50" s="271">
        <v>210655</v>
      </c>
      <c r="CR50" s="399" t="str">
        <f t="shared" si="35"/>
        <v>LAMINA GEN LACADA SIZING TIPO D 0,195</v>
      </c>
      <c r="CS50" s="399"/>
      <c r="CT50" s="399"/>
      <c r="CU50" s="399"/>
      <c r="CV50" s="284">
        <v>1680</v>
      </c>
      <c r="CW50" s="284">
        <v>400</v>
      </c>
      <c r="CX50" s="284"/>
      <c r="CY50" s="284"/>
      <c r="CZ50" s="284"/>
      <c r="DA50" s="284"/>
      <c r="DB50" s="284"/>
      <c r="DC50" s="264"/>
      <c r="DD50" s="264"/>
      <c r="DE50" s="264"/>
      <c r="DF50" s="264"/>
      <c r="DG50" s="264"/>
      <c r="DH50" s="264"/>
      <c r="DI50" s="268">
        <f t="shared" si="34"/>
        <v>2080</v>
      </c>
      <c r="DJ50" s="269"/>
      <c r="DK50" s="265">
        <f t="shared" si="36"/>
        <v>-2080</v>
      </c>
    </row>
    <row r="51" spans="1:115" ht="15.75" customHeight="1" x14ac:dyDescent="0.25">
      <c r="A51" s="90"/>
      <c r="B51" s="48"/>
      <c r="C51" s="244">
        <v>4</v>
      </c>
      <c r="D51" s="244">
        <v>4</v>
      </c>
      <c r="E51" s="244">
        <v>4</v>
      </c>
      <c r="F51" s="244">
        <v>4</v>
      </c>
      <c r="G51" s="244">
        <v>4</v>
      </c>
      <c r="H51" s="244">
        <v>4</v>
      </c>
      <c r="I51" s="244">
        <v>4</v>
      </c>
      <c r="J51" s="103"/>
      <c r="K51" s="244">
        <v>4</v>
      </c>
      <c r="L51" s="244">
        <v>4</v>
      </c>
      <c r="M51" s="244">
        <v>4</v>
      </c>
      <c r="N51" s="244">
        <v>4</v>
      </c>
      <c r="O51" s="244">
        <v>4</v>
      </c>
      <c r="P51" s="244">
        <v>4</v>
      </c>
      <c r="Q51" s="244">
        <v>4</v>
      </c>
      <c r="R51" s="244">
        <v>4</v>
      </c>
      <c r="S51" s="48"/>
      <c r="T51" s="48"/>
      <c r="U51" s="48"/>
      <c r="V51" s="48"/>
      <c r="W51" s="33"/>
      <c r="X51" s="33"/>
      <c r="Y51" s="48"/>
      <c r="Z51" s="48"/>
      <c r="AA51" s="48"/>
      <c r="AB51" s="48"/>
      <c r="AC51" s="244">
        <v>4</v>
      </c>
      <c r="AD51" s="244">
        <v>4</v>
      </c>
      <c r="AE51" s="244">
        <v>4</v>
      </c>
      <c r="AF51" s="244">
        <v>3</v>
      </c>
      <c r="AG51" s="104"/>
      <c r="AH51" s="105">
        <v>2</v>
      </c>
      <c r="AI51" s="106">
        <v>3</v>
      </c>
      <c r="AJ51" s="106">
        <v>3</v>
      </c>
      <c r="AK51" s="92"/>
      <c r="AL51" s="244">
        <v>5</v>
      </c>
      <c r="AM51" s="244">
        <v>5</v>
      </c>
      <c r="AN51" s="244">
        <v>5</v>
      </c>
      <c r="AO51" s="244">
        <v>5</v>
      </c>
      <c r="AP51" s="244">
        <v>5</v>
      </c>
      <c r="AQ51" s="244">
        <v>0</v>
      </c>
      <c r="AR51" s="33"/>
      <c r="AS51" s="99"/>
      <c r="AT51" s="99"/>
      <c r="AU51" s="99"/>
      <c r="AV51" s="99"/>
      <c r="AW51" s="274"/>
      <c r="AX51" s="100">
        <v>202737</v>
      </c>
      <c r="AY51" s="101" t="str">
        <f t="shared" si="37"/>
        <v>LAMINA POKER 330/750R TIPO A LG</v>
      </c>
      <c r="AZ51" s="48">
        <v>2854</v>
      </c>
      <c r="BA51" s="22">
        <v>7</v>
      </c>
      <c r="BB51" s="33"/>
      <c r="BC51" s="43"/>
      <c r="BD51" s="43"/>
      <c r="BE51" s="43"/>
      <c r="BF51" s="94"/>
      <c r="BG51" s="43"/>
      <c r="BH51" s="43"/>
      <c r="BI51" s="43"/>
      <c r="BJ51" s="43">
        <f>1689+1636</f>
        <v>3325</v>
      </c>
      <c r="BK51" s="43"/>
      <c r="BL51" s="43"/>
      <c r="BM51" s="43">
        <v>1198</v>
      </c>
      <c r="BN51" s="97" t="s">
        <v>269</v>
      </c>
      <c r="BO51" s="97"/>
      <c r="BP51" s="43"/>
      <c r="BQ51" s="43"/>
      <c r="BR51" s="43"/>
      <c r="BS51" s="43"/>
      <c r="BT51" s="43"/>
      <c r="BU51" s="43"/>
      <c r="BV51" s="279" t="s">
        <v>268</v>
      </c>
      <c r="BW51" s="100">
        <v>213637</v>
      </c>
      <c r="BX51" s="43" t="str">
        <f t="shared" si="38"/>
        <v>LAMINA AGUILA LGT PROMO ALFA TIP D 0.195</v>
      </c>
      <c r="BY51" s="48">
        <v>733</v>
      </c>
      <c r="BZ51" s="102">
        <f t="shared" si="39"/>
        <v>733</v>
      </c>
      <c r="CA51" s="39"/>
      <c r="CB51" s="517"/>
      <c r="CC51" s="517"/>
      <c r="CD51" s="39"/>
      <c r="CE51" s="47"/>
      <c r="CF51" s="65"/>
      <c r="CG51" s="517"/>
      <c r="CI51" s="60">
        <v>213147</v>
      </c>
      <c r="CJ51" s="60">
        <v>213146</v>
      </c>
      <c r="CK51" s="60" t="s">
        <v>96</v>
      </c>
      <c r="CL51" s="60">
        <v>210656</v>
      </c>
      <c r="CM51" s="60" t="str">
        <f t="shared" si="20"/>
        <v>LAMINA GEN BASE BLANCA LACADA TIPO D 0.195</v>
      </c>
      <c r="CN51" s="226">
        <v>0</v>
      </c>
      <c r="CO51" s="226">
        <v>0</v>
      </c>
      <c r="CQ51" s="271">
        <v>210761</v>
      </c>
      <c r="CR51" s="399" t="str">
        <f t="shared" si="35"/>
        <v xml:space="preserve">LAMINA POKER ROJA TIPO D 0.195 </v>
      </c>
      <c r="CS51" s="399"/>
      <c r="CT51" s="399"/>
      <c r="CU51" s="399"/>
      <c r="CV51" s="284"/>
      <c r="CW51" s="284"/>
      <c r="CX51" s="284"/>
      <c r="CY51" s="284"/>
      <c r="CZ51" s="284"/>
      <c r="DA51" s="284"/>
      <c r="DB51" s="284"/>
      <c r="DC51" s="264"/>
      <c r="DD51" s="264"/>
      <c r="DE51" s="264"/>
      <c r="DF51" s="264"/>
      <c r="DG51" s="264"/>
      <c r="DH51" s="264"/>
      <c r="DI51" s="268">
        <f t="shared" si="34"/>
        <v>0</v>
      </c>
      <c r="DJ51" s="269"/>
      <c r="DK51" s="265">
        <f t="shared" si="36"/>
        <v>0</v>
      </c>
    </row>
    <row r="52" spans="1:115" ht="15.75" customHeight="1" x14ac:dyDescent="0.25">
      <c r="A52" s="33"/>
      <c r="B52" s="33"/>
      <c r="C52" s="33"/>
      <c r="D52" s="33"/>
      <c r="E52" s="33"/>
      <c r="F52" s="107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5"/>
      <c r="Z52" s="184">
        <v>2</v>
      </c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92"/>
      <c r="AL52" s="244">
        <v>5</v>
      </c>
      <c r="AM52" s="244">
        <v>5</v>
      </c>
      <c r="AN52" s="244">
        <v>5</v>
      </c>
      <c r="AO52" s="244">
        <v>0</v>
      </c>
      <c r="AP52" s="244">
        <v>0</v>
      </c>
      <c r="AQ52" s="244">
        <v>0</v>
      </c>
      <c r="AR52" s="33"/>
      <c r="AS52" s="99"/>
      <c r="AT52" s="99"/>
      <c r="AU52" s="99"/>
      <c r="AV52" s="99"/>
      <c r="AW52" s="274"/>
      <c r="AX52" s="100">
        <v>210761</v>
      </c>
      <c r="AY52" s="101" t="str">
        <f t="shared" si="37"/>
        <v xml:space="preserve">LAMINA POKER ROJA TIPO D 0.195 </v>
      </c>
      <c r="AZ52" s="48">
        <v>886</v>
      </c>
      <c r="BA52" s="22">
        <v>4</v>
      </c>
      <c r="BB52" s="33"/>
      <c r="BC52" s="43"/>
      <c r="BD52" s="43"/>
      <c r="BE52" s="43"/>
      <c r="BF52" s="94"/>
      <c r="BG52" s="43"/>
      <c r="BH52" s="43"/>
      <c r="BI52" s="43"/>
      <c r="BJ52" s="43">
        <v>900</v>
      </c>
      <c r="BL52" s="43"/>
      <c r="BM52" s="43"/>
      <c r="BN52" s="97"/>
      <c r="BO52" s="97"/>
      <c r="BP52" s="43"/>
      <c r="BQ52" s="43"/>
      <c r="BR52" s="43"/>
      <c r="BS52" s="43"/>
      <c r="BT52" s="43"/>
      <c r="BU52" s="43"/>
      <c r="BV52" s="279" t="s">
        <v>268</v>
      </c>
      <c r="BW52" s="100">
        <v>210655</v>
      </c>
      <c r="BX52" s="43" t="str">
        <f t="shared" si="38"/>
        <v>LAMINA GEN LACADA SIZING TIPO D 0,195</v>
      </c>
      <c r="BY52" s="48">
        <v>540</v>
      </c>
      <c r="BZ52" s="102">
        <f t="shared" si="39"/>
        <v>540</v>
      </c>
      <c r="CA52" s="39"/>
      <c r="CB52" s="517"/>
      <c r="CC52" s="517"/>
      <c r="CD52" s="39"/>
      <c r="CE52" s="40"/>
      <c r="CF52" s="65"/>
      <c r="CG52" s="517"/>
      <c r="CI52" s="60">
        <v>212787</v>
      </c>
      <c r="CJ52" s="60">
        <v>212812</v>
      </c>
      <c r="CK52" s="60" t="s">
        <v>99</v>
      </c>
      <c r="CL52" s="60">
        <v>211749</v>
      </c>
      <c r="CM52" s="60" t="str">
        <f t="shared" si="20"/>
        <v>LAM BASE BLANCA LACA OXY TIPO 0.195</v>
      </c>
      <c r="CN52" s="226">
        <v>0</v>
      </c>
      <c r="CO52" s="226">
        <v>0</v>
      </c>
      <c r="CQ52" s="271">
        <v>213246</v>
      </c>
      <c r="CR52" s="399" t="str">
        <f t="shared" si="35"/>
        <v>LAMINA CLUB PREMIUM CLASICA TIPO D 0.195</v>
      </c>
      <c r="CS52" s="399"/>
      <c r="CT52" s="399"/>
      <c r="CU52" s="399"/>
      <c r="CV52" s="284"/>
      <c r="CW52" s="284"/>
      <c r="CX52" s="284"/>
      <c r="CY52" s="284"/>
      <c r="CZ52" s="284"/>
      <c r="DA52" s="284"/>
      <c r="DB52" s="284"/>
      <c r="DC52" s="264"/>
      <c r="DD52" s="264"/>
      <c r="DE52" s="264"/>
      <c r="DF52" s="264"/>
      <c r="DG52" s="264"/>
      <c r="DH52" s="264"/>
      <c r="DI52" s="266">
        <f t="shared" si="34"/>
        <v>0</v>
      </c>
      <c r="DJ52" s="267"/>
      <c r="DK52" s="265">
        <f t="shared" si="36"/>
        <v>0</v>
      </c>
    </row>
    <row r="53" spans="1:115" ht="15" customHeight="1" x14ac:dyDescent="0.15">
      <c r="A53" s="33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92"/>
      <c r="AL53" s="33"/>
      <c r="AM53" s="33"/>
      <c r="AN53" s="33"/>
      <c r="AO53" s="33"/>
      <c r="AP53" s="38"/>
      <c r="AQ53" s="38"/>
      <c r="AR53" s="33"/>
      <c r="AS53" s="99"/>
      <c r="AT53" s="99"/>
      <c r="AU53" s="99"/>
      <c r="AV53" s="99"/>
      <c r="AW53" s="274"/>
      <c r="AX53" s="100">
        <v>213364</v>
      </c>
      <c r="AY53" s="101" t="str">
        <f t="shared" si="37"/>
        <v>LAMINA PILSENER ECUADOR TW TIPO D 0.195</v>
      </c>
      <c r="AZ53" s="48">
        <v>1404</v>
      </c>
      <c r="BA53" s="22">
        <v>3</v>
      </c>
      <c r="BB53" s="33"/>
      <c r="BC53" s="43"/>
      <c r="BD53" s="43"/>
      <c r="BE53" s="43"/>
      <c r="BF53" s="38"/>
      <c r="BG53" s="43"/>
      <c r="BH53" s="43"/>
      <c r="BI53" s="43"/>
      <c r="BJ53" s="43">
        <v>1605</v>
      </c>
      <c r="BK53" s="43"/>
      <c r="BL53" s="43"/>
      <c r="BM53" s="43"/>
      <c r="BN53" s="97"/>
      <c r="BO53" s="97"/>
      <c r="BP53" s="43"/>
      <c r="BQ53" s="43"/>
      <c r="BR53" s="43"/>
      <c r="BS53" s="43"/>
      <c r="BT53" s="43"/>
      <c r="BU53" s="43"/>
      <c r="BV53" s="279" t="s">
        <v>268</v>
      </c>
      <c r="BW53" s="100">
        <v>213637</v>
      </c>
      <c r="BX53" s="43" t="str">
        <f t="shared" si="38"/>
        <v>LAMINA AGUILA LGT PROMO ALFA TIP D 0.195</v>
      </c>
      <c r="BY53" s="48">
        <f>1605-424</f>
        <v>1181</v>
      </c>
      <c r="BZ53" s="102">
        <f t="shared" si="39"/>
        <v>1181</v>
      </c>
      <c r="CA53" s="39"/>
      <c r="CB53" s="517"/>
      <c r="CC53" s="517"/>
      <c r="CD53" s="39"/>
      <c r="CE53" s="47"/>
      <c r="CF53" s="65"/>
      <c r="CG53" s="517"/>
      <c r="CI53" s="60">
        <v>213237</v>
      </c>
      <c r="CJ53" s="60">
        <v>213229</v>
      </c>
      <c r="CK53" s="60" t="s">
        <v>101</v>
      </c>
      <c r="CL53" s="60">
        <v>210654</v>
      </c>
      <c r="CM53" s="60" t="str">
        <f t="shared" si="20"/>
        <v>LAMINA GEN LACADA TIPO D 0,195</v>
      </c>
      <c r="CN53" s="226">
        <v>0</v>
      </c>
      <c r="CO53" s="226">
        <v>0</v>
      </c>
      <c r="CQ53" s="271">
        <v>213239</v>
      </c>
      <c r="CR53" s="399" t="str">
        <f t="shared" si="35"/>
        <v>LAMINA PILSENER TIPO D 0.195</v>
      </c>
      <c r="CS53" s="399"/>
      <c r="CT53" s="399"/>
      <c r="CU53" s="399"/>
      <c r="CV53" s="284"/>
      <c r="CW53" s="284"/>
      <c r="CX53" s="284"/>
      <c r="CY53" s="284"/>
      <c r="CZ53" s="284"/>
      <c r="DA53" s="284"/>
      <c r="DB53" s="284"/>
      <c r="DC53" s="264"/>
      <c r="DD53" s="264"/>
      <c r="DE53" s="264"/>
      <c r="DF53" s="264"/>
      <c r="DG53" s="264"/>
      <c r="DH53" s="264"/>
      <c r="DI53" s="265">
        <f t="shared" si="34"/>
        <v>0</v>
      </c>
      <c r="DJ53" s="261"/>
      <c r="DK53" s="265">
        <f t="shared" si="36"/>
        <v>0</v>
      </c>
    </row>
    <row r="54" spans="1:115" ht="15" customHeight="1" x14ac:dyDescent="0.15">
      <c r="A54" s="39"/>
      <c r="B54" s="223">
        <f>+SUM(C11:C18)+SUM(Y52:AJ53)+SUM(I13:P13)+SUM(B38:I39)+SUM(B47:V48)+SUM(Z49:AJ50)</f>
        <v>141</v>
      </c>
      <c r="C54" s="174" t="s">
        <v>270</v>
      </c>
      <c r="D54" s="175">
        <f>+SUM(B45:V46)+SUM(Y45:AJ48)+SUM(B11:B15)+SUM(B38:I38)+SUM(B49:X50)+SUM(Y52)</f>
        <v>126</v>
      </c>
      <c r="E54" s="176" t="s">
        <v>4</v>
      </c>
      <c r="F54" s="177">
        <f>SUM(B35:I37)+SUM(D11:D17)</f>
        <v>0</v>
      </c>
      <c r="G54" s="176" t="s">
        <v>271</v>
      </c>
      <c r="H54" s="178">
        <f>+SUM(C51:I51)+SUM(K51:Q51)+SUM(Z51:AF51)+SUM(AL45:AQ52)</f>
        <v>275</v>
      </c>
      <c r="I54" s="176" t="s">
        <v>272</v>
      </c>
      <c r="J54" s="179">
        <f>+SUM(AH51:AJ51)</f>
        <v>8</v>
      </c>
      <c r="K54" s="176" t="s">
        <v>273</v>
      </c>
      <c r="L54" s="180"/>
      <c r="M54" s="176" t="s">
        <v>274</v>
      </c>
      <c r="N54" s="181"/>
      <c r="O54" s="176" t="s">
        <v>275</v>
      </c>
      <c r="P54" s="35"/>
      <c r="Q54" s="107"/>
      <c r="R54" s="35"/>
      <c r="S54" s="35"/>
      <c r="T54" s="35"/>
      <c r="U54" s="35"/>
      <c r="V54" s="35"/>
      <c r="W54" s="35"/>
      <c r="X54" s="35"/>
      <c r="Y54" s="35"/>
      <c r="Z54" s="108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92"/>
      <c r="AL54" s="33"/>
      <c r="AM54" s="33"/>
      <c r="AN54" s="33"/>
      <c r="AO54" s="33"/>
      <c r="AP54" s="38"/>
      <c r="AQ54" s="38"/>
      <c r="AR54" s="33"/>
      <c r="AS54" s="50">
        <f t="shared" ref="AS54:AU54" si="40">SUM(AS47:AS53)</f>
        <v>0</v>
      </c>
      <c r="AT54" s="50">
        <f t="shared" si="40"/>
        <v>0</v>
      </c>
      <c r="AU54" s="50">
        <f t="shared" si="40"/>
        <v>7348</v>
      </c>
      <c r="AV54" s="50">
        <f>SUM(AV47:AV53)</f>
        <v>2413</v>
      </c>
      <c r="AW54" s="274"/>
      <c r="AX54" s="100">
        <v>213246</v>
      </c>
      <c r="AY54" s="101" t="str">
        <f t="shared" ref="AY54" si="41">IFERROR(VLOOKUP(AX54,$CI:$CM,3,0)," ")</f>
        <v>LAMINA CLUB PREMIUM CLASICA TIPO D 0.195</v>
      </c>
      <c r="AZ54" s="48">
        <v>1468</v>
      </c>
      <c r="BA54" s="22">
        <v>9</v>
      </c>
      <c r="BB54" s="33"/>
      <c r="BC54" s="109">
        <f t="shared" ref="BC54:BE54" si="42">SUM(BC47:BC53)</f>
        <v>0</v>
      </c>
      <c r="BD54" s="109">
        <f t="shared" si="42"/>
        <v>0</v>
      </c>
      <c r="BE54" s="109">
        <f t="shared" si="42"/>
        <v>0</v>
      </c>
      <c r="BF54" s="38"/>
      <c r="BG54" s="109">
        <f>SUM(BG47:BG53)</f>
        <v>290</v>
      </c>
      <c r="BH54" s="109">
        <f t="shared" ref="BH54:BJ54" si="43">SUM(BH47:BH53)</f>
        <v>0</v>
      </c>
      <c r="BI54" s="109">
        <f>SUM(BI47:BI53)</f>
        <v>3060</v>
      </c>
      <c r="BJ54" s="109">
        <f t="shared" si="43"/>
        <v>15780</v>
      </c>
      <c r="BK54" s="109">
        <f>SUM(BK47:BK53)</f>
        <v>0</v>
      </c>
      <c r="BL54" s="109">
        <f>SUM(BL47:BL53)</f>
        <v>15323</v>
      </c>
      <c r="BM54" s="109">
        <f>SUM(BM47:BM53)</f>
        <v>4004</v>
      </c>
      <c r="BN54" s="97"/>
      <c r="BO54" s="97"/>
      <c r="BP54" s="109">
        <f t="shared" ref="BP54:BT54" si="44">SUM(BP47:BP53)</f>
        <v>0</v>
      </c>
      <c r="BQ54" s="109">
        <f t="shared" si="44"/>
        <v>1174</v>
      </c>
      <c r="BR54" s="109">
        <f>SUM(BR47:BR53)</f>
        <v>1629</v>
      </c>
      <c r="BS54" s="109">
        <f t="shared" si="44"/>
        <v>16582</v>
      </c>
      <c r="BT54" s="109">
        <f t="shared" si="44"/>
        <v>0</v>
      </c>
      <c r="BU54" s="109">
        <f>SUM(BU47:BU53)</f>
        <v>1692</v>
      </c>
      <c r="BV54" s="279" t="s">
        <v>268</v>
      </c>
      <c r="BW54" s="100">
        <v>213637</v>
      </c>
      <c r="BX54" s="43" t="str">
        <f t="shared" si="38"/>
        <v>LAMINA AGUILA LGT PROMO ALFA TIP D 0.195</v>
      </c>
      <c r="BY54" s="48">
        <f>1670-980</f>
        <v>690</v>
      </c>
      <c r="BZ54" s="102">
        <f t="shared" si="39"/>
        <v>690</v>
      </c>
      <c r="CA54" s="39"/>
      <c r="CB54" s="517"/>
      <c r="CC54" s="517"/>
      <c r="CD54" s="39"/>
      <c r="CE54" s="40"/>
      <c r="CF54" s="65"/>
      <c r="CG54" s="517" t="s">
        <v>276</v>
      </c>
      <c r="CI54" s="60">
        <v>213356</v>
      </c>
      <c r="CJ54" s="60">
        <v>213340</v>
      </c>
      <c r="CK54" s="60" t="s">
        <v>103</v>
      </c>
      <c r="CL54" s="60">
        <v>210655</v>
      </c>
      <c r="CM54" s="60" t="str">
        <f t="shared" si="20"/>
        <v>LAMINA GEN LACADA SIZING TIPO D 0,195</v>
      </c>
      <c r="CN54" s="226">
        <v>0</v>
      </c>
      <c r="CO54" s="226">
        <v>0</v>
      </c>
      <c r="CQ54" s="271">
        <v>211691</v>
      </c>
      <c r="CR54" s="399" t="str">
        <f t="shared" si="35"/>
        <v>LAMINA NATIVA SUR TIPO D 0.195</v>
      </c>
      <c r="CS54" s="399"/>
      <c r="CT54" s="399"/>
      <c r="CU54" s="399"/>
      <c r="CV54" s="284"/>
      <c r="CW54" s="284"/>
      <c r="CX54" s="284"/>
      <c r="CY54" s="284"/>
      <c r="CZ54" s="284"/>
      <c r="DA54" s="284"/>
      <c r="DB54" s="284"/>
      <c r="DC54" s="280"/>
      <c r="DD54" s="264"/>
      <c r="DE54" s="264"/>
      <c r="DF54" s="264"/>
      <c r="DG54" s="264"/>
      <c r="DH54" s="264"/>
      <c r="DI54" s="265">
        <f t="shared" si="34"/>
        <v>0</v>
      </c>
      <c r="DJ54" s="261"/>
      <c r="DK54" s="265">
        <f t="shared" si="36"/>
        <v>0</v>
      </c>
    </row>
    <row r="55" spans="1:115" ht="15" customHeight="1" x14ac:dyDescent="0.1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110"/>
      <c r="AL55" s="33"/>
      <c r="AM55" s="33"/>
      <c r="AN55" s="33"/>
      <c r="AO55" s="33"/>
      <c r="AP55" s="38"/>
      <c r="AQ55" s="38"/>
      <c r="AR55" s="33"/>
      <c r="AS55" s="51"/>
      <c r="AT55" s="51"/>
      <c r="AU55" s="51">
        <v>207301</v>
      </c>
      <c r="AV55" s="51">
        <v>212604</v>
      </c>
      <c r="AW55" s="274"/>
      <c r="AX55" s="100">
        <v>211217</v>
      </c>
      <c r="AY55" s="101" t="str">
        <f t="shared" si="37"/>
        <v>LAMINA BUDWEISER TW TIPO D 0.195</v>
      </c>
      <c r="AZ55" s="48">
        <v>1728</v>
      </c>
      <c r="BA55" s="22">
        <v>14</v>
      </c>
      <c r="BB55" s="33"/>
      <c r="BC55" s="51"/>
      <c r="BD55" s="51"/>
      <c r="BE55" s="51"/>
      <c r="BF55" s="38"/>
      <c r="BG55" s="51">
        <v>212127</v>
      </c>
      <c r="BH55" s="51"/>
      <c r="BI55" s="51">
        <v>213996</v>
      </c>
      <c r="BJ55" s="51">
        <v>213637</v>
      </c>
      <c r="BK55" s="51"/>
      <c r="BL55" s="51">
        <v>211208</v>
      </c>
      <c r="BM55" s="51">
        <v>213738</v>
      </c>
      <c r="BN55" s="97"/>
      <c r="BO55" s="97"/>
      <c r="BP55" s="51"/>
      <c r="BQ55" s="51">
        <v>211209</v>
      </c>
      <c r="BR55" s="51">
        <v>212787</v>
      </c>
      <c r="BS55" s="51">
        <v>212315</v>
      </c>
      <c r="BT55" s="51"/>
      <c r="BU55" s="51">
        <v>212403</v>
      </c>
      <c r="BV55" s="279" t="s">
        <v>268</v>
      </c>
      <c r="BW55" s="100">
        <v>213738</v>
      </c>
      <c r="BX55" s="43" t="str">
        <f t="shared" si="38"/>
        <v>LAMINA POKER RENOVACION</v>
      </c>
      <c r="BY55" s="48">
        <v>1460</v>
      </c>
      <c r="BZ55" s="102">
        <f t="shared" si="39"/>
        <v>1460</v>
      </c>
      <c r="CA55" s="39"/>
      <c r="CB55" s="517"/>
      <c r="CC55" s="517"/>
      <c r="CD55" s="39"/>
      <c r="CE55" s="47"/>
      <c r="CF55" s="65"/>
      <c r="CG55" s="517"/>
      <c r="CI55" s="60">
        <v>213343</v>
      </c>
      <c r="CJ55" s="60">
        <v>213340</v>
      </c>
      <c r="CK55" s="60" t="s">
        <v>104</v>
      </c>
      <c r="CL55" s="60">
        <v>210655</v>
      </c>
      <c r="CM55" s="60" t="str">
        <f t="shared" si="20"/>
        <v>LAMINA GEN LACADA SIZING TIPO D 0,195</v>
      </c>
      <c r="CN55" s="226">
        <v>0</v>
      </c>
      <c r="CO55" s="226">
        <v>0</v>
      </c>
      <c r="CQ55" s="271">
        <v>210760</v>
      </c>
      <c r="CR55" s="399" t="str">
        <f t="shared" si="35"/>
        <v xml:space="preserve">LAMINA AGUILA AZUL TIPO D 0.195 </v>
      </c>
      <c r="CS55" s="399"/>
      <c r="CT55" s="399"/>
      <c r="CU55" s="399"/>
      <c r="CV55" s="284">
        <v>486</v>
      </c>
      <c r="CW55" s="284">
        <v>280</v>
      </c>
      <c r="CX55" s="284">
        <v>300</v>
      </c>
      <c r="CY55" s="284">
        <v>840</v>
      </c>
      <c r="CZ55" s="284"/>
      <c r="DA55" s="284"/>
      <c r="DB55" s="284"/>
      <c r="DC55" s="280"/>
      <c r="DD55" s="280"/>
      <c r="DE55" s="280"/>
      <c r="DF55" s="280"/>
      <c r="DG55" s="264"/>
      <c r="DH55" s="264"/>
      <c r="DI55" s="265">
        <f t="shared" si="34"/>
        <v>1906</v>
      </c>
      <c r="DJ55" s="261"/>
      <c r="DK55" s="265">
        <f t="shared" si="36"/>
        <v>-1906</v>
      </c>
    </row>
    <row r="56" spans="1:115" ht="15" customHeight="1" x14ac:dyDescent="0.15">
      <c r="A56" s="39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22"/>
      <c r="AC56" s="22"/>
      <c r="AD56" s="22"/>
      <c r="AE56" s="22"/>
      <c r="AF56" s="22"/>
      <c r="AG56" s="33"/>
      <c r="AH56" s="33"/>
      <c r="AI56" s="22"/>
      <c r="AJ56" s="22"/>
      <c r="AK56" s="92"/>
      <c r="AL56" s="33"/>
      <c r="AM56" s="33"/>
      <c r="AN56" s="58"/>
      <c r="AO56" s="58"/>
      <c r="AP56" s="38"/>
      <c r="AQ56" s="38"/>
      <c r="AR56" s="33"/>
      <c r="AS56" s="111" t="str">
        <f>IFERROR(VLOOKUP(AS55,$CI:$CM,3,0)," ")</f>
        <v xml:space="preserve"> </v>
      </c>
      <c r="AT56" s="111" t="str">
        <f>IFERROR(VLOOKUP(AT55,$CI:$CM,3,0)," ")</f>
        <v xml:space="preserve"> </v>
      </c>
      <c r="AU56" s="111" t="str">
        <f>IFERROR(VLOOKUP(AU55,$CI:$CM,3,0)," ")</f>
        <v>LAMINA COSTEÑITA TIPO D</v>
      </c>
      <c r="AV56" s="111" t="str">
        <f>IFERROR(VLOOKUP(AV55,$CI:$CM,3,0)," ")</f>
        <v>LAMINA COSTEÑA ROJA TIPO D0.195</v>
      </c>
      <c r="AW56" s="274"/>
      <c r="AX56" s="100">
        <v>208477</v>
      </c>
      <c r="AY56" s="101" t="str">
        <f t="shared" ref="AY56" si="45">IFERROR(VLOOKUP(AX56,$CI:$CM,3,0)," ")</f>
        <v>LAMINA POKER ROJA RET LG TIPO D 0,17</v>
      </c>
      <c r="AZ56" s="48">
        <v>1977</v>
      </c>
      <c r="BA56" s="22">
        <v>8</v>
      </c>
      <c r="BB56" s="33"/>
      <c r="BC56" s="112" t="str">
        <f>IFERROR(VLOOKUP(BC55,$CI:$CM,3,0)," ")</f>
        <v xml:space="preserve"> </v>
      </c>
      <c r="BD56" s="112" t="str">
        <f>IFERROR(VLOOKUP(BD55,$CI:$CM,3,0)," ")</f>
        <v xml:space="preserve"> </v>
      </c>
      <c r="BE56" s="112" t="str">
        <f>IFERROR(VLOOKUP(BE55,$CI:$CM,3,0)," ")</f>
        <v xml:space="preserve"> </v>
      </c>
      <c r="BF56" s="38"/>
      <c r="BG56" s="112" t="str">
        <f>IFERROR(VLOOKUP(BG55,$CI:$CM,3,0)," ")</f>
        <v xml:space="preserve">LAMINA YO ME CUIDO PERU ST TIPO D 0.195 </v>
      </c>
      <c r="BH56" s="112" t="str">
        <f>IFERROR(VLOOKUP(BH55,$CI:$CM,3,0)," ")</f>
        <v xml:space="preserve"> </v>
      </c>
      <c r="BI56" s="112" t="str">
        <f t="shared" ref="BI56:BM56" si="46">IFERROR(VLOOKUP(BI55,$CI:$CM,3,0)," ")</f>
        <v>LAMINA AGUILA MF 2026 UV TIPO D 0,195</v>
      </c>
      <c r="BJ56" s="112" t="str">
        <f>IFERROR(VLOOKUP(BJ55,$CI:$CM,3,0)," ")</f>
        <v>LAMINA AGUILA LGT PROMO ALFA TIP D 0.195</v>
      </c>
      <c r="BK56" s="112" t="str">
        <f t="shared" si="46"/>
        <v xml:space="preserve"> </v>
      </c>
      <c r="BL56" s="112" t="str">
        <f t="shared" si="46"/>
        <v>LAMINA PILSEN GENERICA TIP D 0.195</v>
      </c>
      <c r="BM56" s="112" t="str">
        <f t="shared" si="46"/>
        <v>LAMINA POKER RENOVACION</v>
      </c>
      <c r="BN56" s="97"/>
      <c r="BO56" s="97"/>
      <c r="BP56" s="112" t="str">
        <f t="shared" ref="BP56:BU56" si="47">IFERROR(VLOOKUP(BP55,$CI:$CM,3,0)," ")</f>
        <v xml:space="preserve"> </v>
      </c>
      <c r="BQ56" s="112" t="str">
        <f t="shared" si="47"/>
        <v>LAMINA CORONA MARTE TIPO D 0.195</v>
      </c>
      <c r="BR56" s="112" t="str">
        <f>IFERROR(VLOOKUP(BR55,$CI:$CM,3,0)," ")</f>
        <v>LAMINA CORONA CERO TIPO D 0,195</v>
      </c>
      <c r="BS56" s="112" t="str">
        <f t="shared" si="47"/>
        <v xml:space="preserve">LAMINA COSTEÑITA CBARRAS LG TIPOD.0.195 </v>
      </c>
      <c r="BT56" s="112" t="str">
        <f t="shared" si="47"/>
        <v xml:space="preserve"> </v>
      </c>
      <c r="BU56" s="112" t="str">
        <f t="shared" si="47"/>
        <v xml:space="preserve">LAMINA COSTEÑA BACANA 2000 TP D 0.195 </v>
      </c>
      <c r="BV56" s="279"/>
      <c r="BW56" s="38"/>
      <c r="BX56" s="38"/>
      <c r="BY56" s="38"/>
      <c r="BZ56" s="94"/>
      <c r="CA56" s="39"/>
      <c r="CB56" s="517"/>
      <c r="CC56" s="517"/>
      <c r="CD56" s="39"/>
      <c r="CE56" s="40"/>
      <c r="CF56" s="65"/>
      <c r="CG56" s="517"/>
      <c r="CI56" s="60">
        <v>213354</v>
      </c>
      <c r="CJ56" s="60">
        <v>213328</v>
      </c>
      <c r="CK56" s="60" t="s">
        <v>106</v>
      </c>
      <c r="CL56" s="60">
        <v>210656</v>
      </c>
      <c r="CM56" s="60" t="str">
        <f t="shared" si="20"/>
        <v>LAMINA GEN BASE BLANCA LACADA TIPO D 0.195</v>
      </c>
      <c r="CN56" s="226">
        <v>0</v>
      </c>
      <c r="CO56" s="226">
        <v>0</v>
      </c>
      <c r="CQ56" s="271">
        <v>213868</v>
      </c>
      <c r="CR56" s="399" t="str">
        <f t="shared" si="35"/>
        <v>LAMINA TAPA TEST CONV TIPO D0.195</v>
      </c>
      <c r="CS56" s="399"/>
      <c r="CT56" s="399"/>
      <c r="CU56" s="399"/>
      <c r="CV56" s="329">
        <v>999</v>
      </c>
      <c r="CW56" s="284">
        <v>878</v>
      </c>
      <c r="CX56" s="284">
        <v>26</v>
      </c>
      <c r="CY56" s="284"/>
      <c r="CZ56" s="284"/>
      <c r="DA56" s="284"/>
      <c r="DB56" s="284"/>
      <c r="DC56" s="264"/>
      <c r="DD56" s="264"/>
      <c r="DE56" s="264"/>
      <c r="DF56" s="264"/>
      <c r="DG56" s="264"/>
      <c r="DH56" s="264"/>
      <c r="DI56" s="265">
        <f t="shared" si="34"/>
        <v>1903</v>
      </c>
      <c r="DJ56" s="261"/>
      <c r="DK56" s="265">
        <f t="shared" si="36"/>
        <v>-1903</v>
      </c>
    </row>
    <row r="57" spans="1:115" ht="15" customHeight="1" x14ac:dyDescent="0.15">
      <c r="A57" s="39"/>
      <c r="B57" s="406" t="s">
        <v>277</v>
      </c>
      <c r="C57" s="406"/>
      <c r="D57" s="164" t="s">
        <v>278</v>
      </c>
      <c r="E57" s="164" t="s">
        <v>279</v>
      </c>
      <c r="F57" s="164" t="s">
        <v>280</v>
      </c>
      <c r="G57" s="33"/>
      <c r="H57" s="406" t="s">
        <v>281</v>
      </c>
      <c r="I57" s="406"/>
      <c r="J57" s="406"/>
      <c r="K57" s="406"/>
      <c r="L57" s="22"/>
      <c r="M57" s="406" t="s">
        <v>282</v>
      </c>
      <c r="N57" s="406"/>
      <c r="O57" s="406"/>
      <c r="P57" s="406"/>
      <c r="Q57" s="107"/>
      <c r="R57" s="406" t="s">
        <v>283</v>
      </c>
      <c r="S57" s="406"/>
      <c r="T57" s="406"/>
      <c r="U57" s="406"/>
      <c r="V57" s="22"/>
      <c r="W57" s="413" t="s">
        <v>284</v>
      </c>
      <c r="X57" s="413"/>
      <c r="Y57" s="413"/>
      <c r="Z57" s="413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92"/>
      <c r="AL57" s="33"/>
      <c r="AM57" s="33"/>
      <c r="AN57" s="58"/>
      <c r="AO57" s="58"/>
      <c r="AP57" s="33"/>
      <c r="AQ57" s="33"/>
      <c r="AR57" s="33"/>
      <c r="AS57" s="113"/>
      <c r="AT57" s="113"/>
      <c r="AU57" s="113" t="s">
        <v>178</v>
      </c>
      <c r="AV57" s="113" t="s">
        <v>3</v>
      </c>
      <c r="AW57" s="274"/>
      <c r="AX57" s="100">
        <v>212019</v>
      </c>
      <c r="AY57" s="101" t="str">
        <f t="shared" si="37"/>
        <v>LAMINA TIPO D 0.195 CLUB COLOM NEW VBI</v>
      </c>
      <c r="AZ57" s="48">
        <v>1349</v>
      </c>
      <c r="BA57" s="22">
        <v>11</v>
      </c>
      <c r="BB57" s="33"/>
      <c r="BC57" s="113"/>
      <c r="BD57" s="113"/>
      <c r="BE57" s="113"/>
      <c r="BF57" s="38"/>
      <c r="BG57" s="113" t="s">
        <v>2</v>
      </c>
      <c r="BH57" s="113"/>
      <c r="BI57" s="113" t="s">
        <v>2</v>
      </c>
      <c r="BJ57" s="113" t="s">
        <v>4</v>
      </c>
      <c r="BK57" s="113"/>
      <c r="BL57" s="113" t="s">
        <v>2</v>
      </c>
      <c r="BM57" s="113" t="s">
        <v>4</v>
      </c>
      <c r="BN57" s="97"/>
      <c r="BO57" s="97"/>
      <c r="BP57" s="113"/>
      <c r="BQ57" s="113" t="s">
        <v>4</v>
      </c>
      <c r="BR57" s="113" t="s">
        <v>4</v>
      </c>
      <c r="BS57" s="113" t="s">
        <v>4</v>
      </c>
      <c r="BT57" s="113"/>
      <c r="BU57" s="113" t="s">
        <v>4</v>
      </c>
      <c r="BV57" s="38"/>
      <c r="BW57" s="38"/>
      <c r="BX57" s="94"/>
      <c r="BY57" s="94"/>
      <c r="BZ57" s="94"/>
      <c r="CA57" s="39"/>
      <c r="CB57" s="39"/>
      <c r="CC57" s="39"/>
      <c r="CD57" s="39"/>
      <c r="CE57" s="47"/>
      <c r="CF57" s="65"/>
      <c r="CG57" s="517"/>
      <c r="CI57" s="60">
        <v>213415</v>
      </c>
      <c r="CJ57" s="60">
        <v>213413</v>
      </c>
      <c r="CK57" s="60" t="s">
        <v>108</v>
      </c>
      <c r="CL57" s="60">
        <v>211671</v>
      </c>
      <c r="CM57" s="60" t="str">
        <f t="shared" si="20"/>
        <v>LAMINA BASE AGUILA LACA TIPO D 0.195</v>
      </c>
      <c r="CN57" s="226">
        <v>0</v>
      </c>
      <c r="CO57" s="226">
        <v>0</v>
      </c>
      <c r="CQ57" s="271">
        <v>213802</v>
      </c>
      <c r="CR57" s="399" t="str">
        <f t="shared" si="35"/>
        <v>LAMINA MCHELOB ULTRA NRB 330 TIPO D0.195</v>
      </c>
      <c r="CS57" s="399"/>
      <c r="CT57" s="399"/>
      <c r="CU57" s="399"/>
      <c r="CV57" s="284">
        <v>187</v>
      </c>
      <c r="CW57" s="284"/>
      <c r="CX57" s="284"/>
      <c r="CY57" s="284"/>
      <c r="CZ57" s="284"/>
      <c r="DA57" s="284"/>
      <c r="DB57" s="284"/>
      <c r="DC57" s="264"/>
      <c r="DD57" s="264"/>
      <c r="DE57" s="264"/>
      <c r="DF57" s="264"/>
      <c r="DG57" s="264"/>
      <c r="DH57" s="264"/>
      <c r="DI57" s="265">
        <f t="shared" si="34"/>
        <v>187</v>
      </c>
      <c r="DJ57" s="261"/>
      <c r="DK57" s="265">
        <f t="shared" si="36"/>
        <v>-187</v>
      </c>
    </row>
    <row r="58" spans="1:115" ht="15" customHeight="1" x14ac:dyDescent="0.15">
      <c r="A58" s="39"/>
      <c r="B58" s="401" t="s">
        <v>2</v>
      </c>
      <c r="C58" s="401"/>
      <c r="D58" s="165">
        <f>B54*1548</f>
        <v>218268</v>
      </c>
      <c r="E58" s="166">
        <v>1.2909999999999999</v>
      </c>
      <c r="F58" s="165">
        <f t="shared" ref="F58:F63" si="48">D58*E58</f>
        <v>281783.98800000001</v>
      </c>
      <c r="G58" s="33"/>
      <c r="H58" s="406"/>
      <c r="I58" s="406"/>
      <c r="J58" s="406"/>
      <c r="K58" s="406"/>
      <c r="L58" s="114"/>
      <c r="M58" s="406"/>
      <c r="N58" s="406"/>
      <c r="O58" s="406"/>
      <c r="P58" s="406"/>
      <c r="Q58" s="107"/>
      <c r="R58" s="406"/>
      <c r="S58" s="406"/>
      <c r="T58" s="406"/>
      <c r="U58" s="406"/>
      <c r="V58" s="22"/>
      <c r="W58" s="413"/>
      <c r="X58" s="413"/>
      <c r="Y58" s="413"/>
      <c r="Z58" s="413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115"/>
      <c r="AL58" s="33"/>
      <c r="AM58" s="33"/>
      <c r="AN58" s="116"/>
      <c r="AO58" s="33"/>
      <c r="AP58" s="33"/>
      <c r="AQ58" s="33"/>
      <c r="AR58" s="33"/>
      <c r="AS58" s="38"/>
      <c r="AT58" s="38">
        <v>13</v>
      </c>
      <c r="AU58" s="38"/>
      <c r="AV58" s="38"/>
      <c r="AW58" s="274"/>
      <c r="AX58" s="100">
        <v>213352</v>
      </c>
      <c r="AY58" s="101" t="str">
        <f t="shared" si="37"/>
        <v>LAMINA NUTRI MALTA D 0.195</v>
      </c>
      <c r="AZ58" s="48">
        <v>1519</v>
      </c>
      <c r="BA58" s="22">
        <v>6</v>
      </c>
      <c r="BB58" s="33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97"/>
      <c r="BO58" s="97"/>
      <c r="BP58" s="38"/>
      <c r="BQ58" s="38"/>
      <c r="BR58" s="38"/>
      <c r="BS58" s="38"/>
      <c r="BT58" s="38"/>
      <c r="BU58" s="38"/>
      <c r="BV58" s="38"/>
      <c r="BW58" s="38"/>
      <c r="BX58" s="94"/>
      <c r="BY58" s="94"/>
      <c r="BZ58" s="94"/>
      <c r="CA58" s="39"/>
      <c r="CB58" s="39"/>
      <c r="CC58" s="39"/>
      <c r="CD58" s="39"/>
      <c r="CE58" s="40"/>
      <c r="CG58" s="517"/>
      <c r="CI58" s="60">
        <v>213246</v>
      </c>
      <c r="CJ58" s="60">
        <v>213304</v>
      </c>
      <c r="CK58" s="60" t="s">
        <v>110</v>
      </c>
      <c r="CL58" s="60">
        <v>210655</v>
      </c>
      <c r="CM58" s="60" t="str">
        <f t="shared" si="20"/>
        <v>LAMINA GEN LACADA SIZING TIPO D 0,195</v>
      </c>
      <c r="CN58" s="226">
        <v>0</v>
      </c>
      <c r="CO58" s="226">
        <v>0</v>
      </c>
      <c r="CQ58" s="271">
        <v>213885</v>
      </c>
      <c r="CR58" s="399" t="str">
        <f t="shared" si="35"/>
        <v>LAMINA TIPO D PILSENER MUNDIAL ECUADOR</v>
      </c>
      <c r="CS58" s="399"/>
      <c r="CT58" s="399"/>
      <c r="CU58" s="399"/>
      <c r="CV58" s="264">
        <v>139</v>
      </c>
      <c r="CW58" s="264"/>
      <c r="CX58" s="264"/>
      <c r="CY58" s="264"/>
      <c r="CZ58" s="264"/>
      <c r="DA58" s="264"/>
      <c r="DB58" s="264"/>
      <c r="DC58" s="264"/>
      <c r="DD58" s="264"/>
      <c r="DE58" s="264"/>
      <c r="DF58" s="264"/>
      <c r="DG58" s="264"/>
      <c r="DH58" s="264"/>
      <c r="DI58" s="265">
        <f t="shared" si="34"/>
        <v>139</v>
      </c>
      <c r="DJ58" s="261"/>
      <c r="DK58" s="265">
        <f t="shared" si="36"/>
        <v>-139</v>
      </c>
    </row>
    <row r="59" spans="1:115" ht="15" customHeight="1" x14ac:dyDescent="0.15">
      <c r="A59" s="39"/>
      <c r="B59" s="404" t="s">
        <v>285</v>
      </c>
      <c r="C59" s="404"/>
      <c r="D59" s="167">
        <f>H54*1690</f>
        <v>464750</v>
      </c>
      <c r="E59" s="168">
        <v>1.014</v>
      </c>
      <c r="F59" s="235">
        <f>D59*E59</f>
        <v>471256.5</v>
      </c>
      <c r="G59" s="33"/>
      <c r="H59" s="401" t="s">
        <v>286</v>
      </c>
      <c r="I59" s="401"/>
      <c r="J59" s="405" t="s">
        <v>216</v>
      </c>
      <c r="K59" s="405"/>
      <c r="L59" s="22"/>
      <c r="M59" s="401" t="s">
        <v>287</v>
      </c>
      <c r="N59" s="401"/>
      <c r="O59" s="401" t="s">
        <v>216</v>
      </c>
      <c r="P59" s="401"/>
      <c r="Q59" s="107"/>
      <c r="R59" s="411" t="s">
        <v>286</v>
      </c>
      <c r="S59" s="411"/>
      <c r="T59" s="411" t="s">
        <v>216</v>
      </c>
      <c r="U59" s="411"/>
      <c r="V59" s="35"/>
      <c r="W59" s="401" t="s">
        <v>288</v>
      </c>
      <c r="X59" s="401"/>
      <c r="Y59" s="401" t="s">
        <v>216</v>
      </c>
      <c r="Z59" s="401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115"/>
      <c r="AL59" s="35"/>
      <c r="AM59" s="33"/>
      <c r="AN59" s="116"/>
      <c r="AO59" s="33"/>
      <c r="AP59" s="33"/>
      <c r="AQ59" s="33"/>
      <c r="AR59" s="33"/>
      <c r="AS59" s="38">
        <v>23</v>
      </c>
      <c r="AT59" s="38">
        <v>21</v>
      </c>
      <c r="AU59" s="38">
        <v>20</v>
      </c>
      <c r="AV59" s="38">
        <v>19</v>
      </c>
      <c r="AW59" s="274"/>
      <c r="AX59" s="100">
        <v>213343</v>
      </c>
      <c r="AY59" s="101" t="str">
        <f t="shared" ref="AY59" si="49">IFERROR(VLOOKUP(AX59,$CI:$CM,3,0)," ")</f>
        <v>LAMINA AGUILA EL CARIBE  D 0.195</v>
      </c>
      <c r="AZ59" s="48">
        <v>629</v>
      </c>
      <c r="BA59" s="22">
        <v>15</v>
      </c>
      <c r="BB59" s="33"/>
      <c r="BC59" s="38">
        <v>17</v>
      </c>
      <c r="BD59" s="38">
        <v>16</v>
      </c>
      <c r="BE59" s="38">
        <v>15</v>
      </c>
      <c r="BF59" s="38"/>
      <c r="BG59" s="38">
        <v>14</v>
      </c>
      <c r="BH59" s="38">
        <v>13</v>
      </c>
      <c r="BI59" s="38">
        <v>12</v>
      </c>
      <c r="BJ59" s="38">
        <v>11</v>
      </c>
      <c r="BK59" s="38">
        <v>10</v>
      </c>
      <c r="BL59" s="38">
        <v>9</v>
      </c>
      <c r="BM59" s="38">
        <v>8</v>
      </c>
      <c r="BN59" s="97"/>
      <c r="BO59" s="97"/>
      <c r="BP59" s="38">
        <v>6</v>
      </c>
      <c r="BQ59" s="38">
        <v>5</v>
      </c>
      <c r="BR59" s="38">
        <v>4</v>
      </c>
      <c r="BS59" s="38">
        <v>3</v>
      </c>
      <c r="BT59" s="94">
        <v>2</v>
      </c>
      <c r="BU59" s="94">
        <v>1</v>
      </c>
      <c r="BV59" s="38"/>
      <c r="BW59" s="38"/>
      <c r="BX59" s="94"/>
      <c r="BY59" s="94"/>
      <c r="BZ59" s="117" t="s">
        <v>178</v>
      </c>
      <c r="CA59" s="39"/>
      <c r="CB59" s="39"/>
      <c r="CC59" s="39"/>
      <c r="CD59" s="39"/>
      <c r="CE59" s="47"/>
      <c r="CG59" s="517"/>
      <c r="CI59" s="60">
        <v>213438</v>
      </c>
      <c r="CJ59" s="60">
        <v>213420</v>
      </c>
      <c r="CK59" s="60" t="s">
        <v>112</v>
      </c>
      <c r="CL59" s="60">
        <v>211671</v>
      </c>
      <c r="CM59" s="60" t="str">
        <f t="shared" si="20"/>
        <v>LAMINA BASE AGUILA LACA TIPO D 0.195</v>
      </c>
      <c r="CN59" s="226">
        <v>212037</v>
      </c>
      <c r="CO59" s="226">
        <v>480</v>
      </c>
      <c r="CQ59" s="271">
        <v>213367</v>
      </c>
      <c r="CR59" s="399" t="str">
        <f t="shared" si="35"/>
        <v>LAMINA CLUB PREMIUM TW ECUADOR D0.195</v>
      </c>
      <c r="CS59" s="399"/>
      <c r="CT59" s="399"/>
      <c r="CU59" s="399"/>
      <c r="CV59" s="284"/>
      <c r="CW59" s="264"/>
      <c r="CX59" s="264"/>
      <c r="CY59" s="264"/>
      <c r="CZ59" s="264"/>
      <c r="DA59" s="264"/>
      <c r="DB59" s="264"/>
      <c r="DC59" s="264"/>
      <c r="DD59" s="264"/>
      <c r="DE59" s="264"/>
      <c r="DF59" s="264"/>
      <c r="DG59" s="264"/>
      <c r="DH59" s="264"/>
      <c r="DI59" s="265">
        <f t="shared" si="34"/>
        <v>0</v>
      </c>
      <c r="DJ59" s="267"/>
      <c r="DK59" s="265">
        <f t="shared" si="36"/>
        <v>0</v>
      </c>
    </row>
    <row r="60" spans="1:115" ht="15" customHeight="1" x14ac:dyDescent="0.15">
      <c r="A60" s="90"/>
      <c r="B60" s="401" t="s">
        <v>4</v>
      </c>
      <c r="C60" s="401"/>
      <c r="D60" s="165">
        <f>(L54*1500)+(D54*1680)</f>
        <v>211680</v>
      </c>
      <c r="E60" s="166">
        <v>1.292</v>
      </c>
      <c r="F60" s="165">
        <f t="shared" si="48"/>
        <v>273490.56</v>
      </c>
      <c r="G60" s="33"/>
      <c r="H60" s="402">
        <f>1170*1500</f>
        <v>1755000</v>
      </c>
      <c r="I60" s="402"/>
      <c r="J60" s="400">
        <f>+J61*1500</f>
        <v>441147.99999999994</v>
      </c>
      <c r="K60" s="400"/>
      <c r="L60" s="22"/>
      <c r="M60" s="402">
        <f>330*1600</f>
        <v>528000</v>
      </c>
      <c r="N60" s="402"/>
      <c r="O60" s="400">
        <f>+SUM(AI10:BC13)+SUM(BJ10:BN17)+SUM(BU10:BY17)+SUM(BE10:BG13)+SUM(BQ31:BY31)+SUM(BU24:BY24)+SUM(AI20:BG20)+SUM(BJ24:BN24)</f>
        <v>73242</v>
      </c>
      <c r="P60" s="400"/>
      <c r="Q60" s="107"/>
      <c r="R60" s="402">
        <f>560*1600</f>
        <v>896000</v>
      </c>
      <c r="S60" s="402"/>
      <c r="T60" s="400">
        <f>SUM(AS47:AV53)+SUM(BB47:BE53)+SUM(BF63:BI69)+SUM(BG47:BM53)+SUM(BO47:BU53)+SUM(BZ47:BZ55)+SUM(AS60:BU60)</f>
        <v>90912</v>
      </c>
      <c r="U60" s="400"/>
      <c r="V60" s="35"/>
      <c r="W60" s="402">
        <f>SUM(H60+M60+R60)</f>
        <v>3179000</v>
      </c>
      <c r="X60" s="402"/>
      <c r="Y60" s="452">
        <f>SUM(J60+O60+T60)</f>
        <v>605302</v>
      </c>
      <c r="Z60" s="45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115"/>
      <c r="AL60" s="35"/>
      <c r="AM60" s="33"/>
      <c r="AN60" s="33"/>
      <c r="AO60" s="33"/>
      <c r="AP60" s="33"/>
      <c r="AQ60" s="33"/>
      <c r="AR60" s="33"/>
      <c r="AS60" s="118">
        <v>4693</v>
      </c>
      <c r="AT60" s="118">
        <v>4760</v>
      </c>
      <c r="AU60" s="118">
        <f>262+775</f>
        <v>1037</v>
      </c>
      <c r="AV60" s="118">
        <v>520</v>
      </c>
      <c r="AW60" s="22"/>
      <c r="AX60" s="22"/>
      <c r="AY60" s="22"/>
      <c r="AZ60" s="22"/>
      <c r="BA60" s="22"/>
      <c r="BB60" s="33"/>
      <c r="BC60" s="102"/>
      <c r="BD60" s="102"/>
      <c r="BE60" s="102"/>
      <c r="BF60" s="38"/>
      <c r="BG60" s="102">
        <f>990+452+445</f>
        <v>1887</v>
      </c>
      <c r="BH60" s="102"/>
      <c r="BI60" s="102"/>
      <c r="BJ60" s="102"/>
      <c r="BK60" s="102"/>
      <c r="BL60" s="102"/>
      <c r="BM60" s="102"/>
      <c r="BN60" s="97"/>
      <c r="BO60" s="97"/>
      <c r="BP60" s="102"/>
      <c r="BQ60" s="102"/>
      <c r="BR60" s="102"/>
      <c r="BS60" s="102"/>
      <c r="BT60" s="102"/>
      <c r="BU60" s="102"/>
      <c r="BV60" s="94"/>
      <c r="BW60" s="94"/>
      <c r="BX60" s="94"/>
      <c r="BY60" s="94"/>
      <c r="BZ60" s="117" t="s">
        <v>289</v>
      </c>
      <c r="CA60" s="39"/>
      <c r="CB60" s="39"/>
      <c r="CC60" s="39"/>
      <c r="CD60" s="39"/>
      <c r="CE60" s="40"/>
      <c r="CG60" s="517"/>
      <c r="CI60" s="60">
        <v>213352</v>
      </c>
      <c r="CJ60" s="60">
        <v>213341</v>
      </c>
      <c r="CK60" s="60" t="s">
        <v>114</v>
      </c>
      <c r="CL60" s="60">
        <v>210656</v>
      </c>
      <c r="CM60" s="60" t="str">
        <f t="shared" si="20"/>
        <v>LAMINA GEN BASE BLANCA LACADA TIPO D 0.195</v>
      </c>
      <c r="CN60" s="226">
        <v>0</v>
      </c>
      <c r="CO60" s="226">
        <v>0</v>
      </c>
      <c r="CQ60" s="185"/>
      <c r="CR60" s="185"/>
      <c r="CS60" s="185"/>
      <c r="CT60" s="185"/>
      <c r="CU60" s="185"/>
      <c r="CV60" s="185"/>
      <c r="CW60" s="185"/>
      <c r="CX60" s="185"/>
      <c r="CY60" s="185"/>
      <c r="CZ60" s="185"/>
      <c r="DA60" s="185"/>
      <c r="DB60" s="185"/>
      <c r="DC60" s="185"/>
      <c r="DD60" s="185"/>
      <c r="DE60" s="185"/>
      <c r="DF60" s="185"/>
      <c r="DG60" s="185"/>
      <c r="DH60" s="185"/>
      <c r="DI60" s="265">
        <f>SUM(DI37:DI59)</f>
        <v>31768</v>
      </c>
      <c r="DJ60" s="261">
        <f>SUM(DJ37:DJ59)</f>
        <v>0</v>
      </c>
      <c r="DK60" s="185"/>
    </row>
    <row r="61" spans="1:115" ht="15" customHeight="1" x14ac:dyDescent="0.15">
      <c r="A61" s="90"/>
      <c r="B61" s="404" t="s">
        <v>290</v>
      </c>
      <c r="C61" s="404"/>
      <c r="D61" s="167">
        <f>(F54*1400)</f>
        <v>0</v>
      </c>
      <c r="E61" s="168">
        <v>1.2909999999999999</v>
      </c>
      <c r="F61" s="167">
        <f t="shared" si="48"/>
        <v>0</v>
      </c>
      <c r="G61" s="33"/>
      <c r="H61" s="458">
        <f>H60/1500</f>
        <v>1170</v>
      </c>
      <c r="I61" s="458"/>
      <c r="J61" s="459">
        <f>+D66/1500</f>
        <v>294.09866666666665</v>
      </c>
      <c r="K61" s="459"/>
      <c r="L61" s="119"/>
      <c r="M61" s="461">
        <f>M60/1600</f>
        <v>330</v>
      </c>
      <c r="N61" s="462"/>
      <c r="O61" s="460">
        <f>O60/1600</f>
        <v>45.776249999999997</v>
      </c>
      <c r="P61" s="460"/>
      <c r="Q61" s="107"/>
      <c r="R61" s="410">
        <f>R60/1600</f>
        <v>560</v>
      </c>
      <c r="S61" s="410"/>
      <c r="T61" s="410">
        <f>T60/1600</f>
        <v>56.82</v>
      </c>
      <c r="U61" s="410"/>
      <c r="V61" s="35"/>
      <c r="W61" s="410">
        <f>W60/1600</f>
        <v>1986.875</v>
      </c>
      <c r="X61" s="410"/>
      <c r="Y61" s="410">
        <f>Y60/1600</f>
        <v>378.31375000000003</v>
      </c>
      <c r="Z61" s="410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115"/>
      <c r="AL61" s="35"/>
      <c r="AM61" s="33"/>
      <c r="AN61" s="33"/>
      <c r="AO61" s="33"/>
      <c r="AP61" s="33"/>
      <c r="AQ61" s="33"/>
      <c r="AR61" s="33"/>
      <c r="AS61" s="51">
        <v>206458</v>
      </c>
      <c r="AT61" s="51">
        <v>210760</v>
      </c>
      <c r="AU61" s="51">
        <v>213637</v>
      </c>
      <c r="AV61" s="51">
        <v>213367</v>
      </c>
      <c r="AW61" s="22"/>
      <c r="AX61" s="22"/>
      <c r="AY61" s="22"/>
      <c r="AZ61" s="22"/>
      <c r="BA61" s="22"/>
      <c r="BB61" s="33"/>
      <c r="BC61" s="51"/>
      <c r="BD61" s="51"/>
      <c r="BE61" s="51"/>
      <c r="BF61" s="38"/>
      <c r="BG61" s="51">
        <v>211209</v>
      </c>
      <c r="BH61" s="51"/>
      <c r="BI61" s="51"/>
      <c r="BJ61" s="51"/>
      <c r="BK61" s="51"/>
      <c r="BL61" s="51"/>
      <c r="BM61" s="51"/>
      <c r="BN61" s="97"/>
      <c r="BO61" s="97"/>
      <c r="BP61" s="51"/>
      <c r="BQ61" s="51"/>
      <c r="BR61" s="51"/>
      <c r="BS61" s="51"/>
      <c r="BT61" s="51"/>
      <c r="BU61" s="51"/>
      <c r="BV61" s="94"/>
      <c r="BW61" s="94"/>
      <c r="BX61" s="94"/>
      <c r="BY61" s="94"/>
      <c r="BZ61" s="94"/>
      <c r="CA61" s="39"/>
      <c r="CB61" s="39"/>
      <c r="CC61" s="39"/>
      <c r="CD61" s="39"/>
      <c r="CE61" s="47"/>
      <c r="CG61" s="517"/>
      <c r="CI61" s="60">
        <v>213324</v>
      </c>
      <c r="CJ61" s="60">
        <v>213321</v>
      </c>
      <c r="CK61" s="60" t="s">
        <v>116</v>
      </c>
      <c r="CL61" s="60">
        <v>210656</v>
      </c>
      <c r="CM61" s="60" t="str">
        <f t="shared" si="20"/>
        <v>LAMINA GEN BASE BLANCA LACADA TIPO D 0.195</v>
      </c>
      <c r="CN61" s="226">
        <v>207544</v>
      </c>
      <c r="CO61" s="226">
        <v>1690</v>
      </c>
      <c r="CQ61" s="185"/>
      <c r="CR61" s="185"/>
      <c r="CS61" s="185"/>
      <c r="CT61" s="185"/>
      <c r="CU61" s="185"/>
      <c r="CV61" s="185"/>
      <c r="CW61" s="185"/>
      <c r="CX61" s="185"/>
      <c r="CY61" s="185"/>
      <c r="CZ61" s="185"/>
      <c r="DA61" s="185"/>
      <c r="DB61" s="185"/>
      <c r="DC61" s="185"/>
      <c r="DD61" s="185"/>
      <c r="DE61" s="185"/>
      <c r="DF61" s="185"/>
      <c r="DG61" s="185"/>
      <c r="DH61" s="185"/>
      <c r="DI61" s="185"/>
      <c r="DJ61" s="185"/>
      <c r="DK61" s="185"/>
    </row>
    <row r="62" spans="1:115" ht="15" customHeight="1" x14ac:dyDescent="0.15">
      <c r="A62" s="90"/>
      <c r="B62" s="401" t="s">
        <v>291</v>
      </c>
      <c r="C62" s="401"/>
      <c r="D62" s="165">
        <f>J54*1400</f>
        <v>11200</v>
      </c>
      <c r="E62" s="166">
        <v>1.1259999999999999</v>
      </c>
      <c r="F62" s="165">
        <f t="shared" si="48"/>
        <v>12611.199999999999</v>
      </c>
      <c r="G62" s="33"/>
      <c r="H62" s="412">
        <f>J60/H60</f>
        <v>0.25136638176638171</v>
      </c>
      <c r="I62" s="412"/>
      <c r="J62" s="412"/>
      <c r="K62" s="412"/>
      <c r="L62" s="22"/>
      <c r="M62" s="412">
        <f>O60/M60</f>
        <v>0.13871590909090908</v>
      </c>
      <c r="N62" s="412"/>
      <c r="O62" s="412"/>
      <c r="P62" s="412"/>
      <c r="Q62" s="107"/>
      <c r="R62" s="412">
        <f>T60/R60</f>
        <v>0.10146428571428572</v>
      </c>
      <c r="S62" s="412"/>
      <c r="T62" s="412"/>
      <c r="U62" s="412"/>
      <c r="V62" s="22"/>
      <c r="W62" s="412">
        <f>Y60/W60</f>
        <v>0.19040641711229947</v>
      </c>
      <c r="X62" s="412"/>
      <c r="Y62" s="412"/>
      <c r="Z62" s="41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115"/>
      <c r="AL62" s="35"/>
      <c r="AM62" s="33"/>
      <c r="AN62" s="33"/>
      <c r="AO62" s="33"/>
      <c r="AP62" s="33"/>
      <c r="AQ62" s="33"/>
      <c r="AR62" s="33"/>
      <c r="AS62" s="111" t="str">
        <f>IFERROR(VLOOKUP(AS61,$CI:$CM,3,0)," ")</f>
        <v>LAMINA CLUB PREMIUM RET TIPO D 0,17 ECU</v>
      </c>
      <c r="AT62" s="111" t="str">
        <f>IFERROR(VLOOKUP(AT61,$CI:$CM,3,0)," ")</f>
        <v xml:space="preserve">LAMINA AGUILA AZUL TIPO D 0.195 </v>
      </c>
      <c r="AU62" s="111" t="str">
        <f>IFERROR(VLOOKUP(AU61,$CI:$CM,3,0)," ")</f>
        <v>LAMINA AGUILA LGT PROMO ALFA TIP D 0.195</v>
      </c>
      <c r="AV62" s="111" t="str">
        <f>IFERROR(VLOOKUP(AV61,$CI:$CM,3,0)," ")</f>
        <v>LAMINA CLUB PREMIUM TW ECUADOR D0.195</v>
      </c>
      <c r="AW62" s="22"/>
      <c r="AX62" s="22"/>
      <c r="AY62" s="22"/>
      <c r="AZ62" s="22"/>
      <c r="BA62" s="22"/>
      <c r="BB62" s="33"/>
      <c r="BC62" s="112" t="str">
        <f>IFERROR(VLOOKUP(BC61,$CI:$CM,3,0)," ")</f>
        <v xml:space="preserve"> </v>
      </c>
      <c r="BD62" s="112" t="str">
        <f>IFERROR(VLOOKUP(BD61,$CI:$CM,3,0)," ")</f>
        <v xml:space="preserve"> </v>
      </c>
      <c r="BE62" s="112" t="str">
        <f>IFERROR(VLOOKUP(BE61,$CI:$CM,3,0)," ")</f>
        <v xml:space="preserve"> </v>
      </c>
      <c r="BF62" s="38"/>
      <c r="BG62" s="112" t="str">
        <f t="shared" ref="BG62:BM62" si="50">IFERROR(VLOOKUP(BG61,$CI:$CM,3,0)," ")</f>
        <v>LAMINA CORONA MARTE TIPO D 0.195</v>
      </c>
      <c r="BH62" s="112" t="str">
        <f t="shared" si="50"/>
        <v xml:space="preserve"> </v>
      </c>
      <c r="BI62" s="112" t="str">
        <f t="shared" si="50"/>
        <v xml:space="preserve"> </v>
      </c>
      <c r="BJ62" s="112" t="str">
        <f t="shared" si="50"/>
        <v xml:space="preserve"> </v>
      </c>
      <c r="BK62" s="112" t="str">
        <f t="shared" si="50"/>
        <v xml:space="preserve"> </v>
      </c>
      <c r="BL62" s="112" t="str">
        <f t="shared" si="50"/>
        <v xml:space="preserve"> </v>
      </c>
      <c r="BM62" s="112" t="str">
        <f t="shared" si="50"/>
        <v xml:space="preserve"> </v>
      </c>
      <c r="BN62" s="97"/>
      <c r="BO62" s="97"/>
      <c r="BP62" s="112" t="str">
        <f t="shared" ref="BP62:BU62" si="51">IFERROR(VLOOKUP(BP61,$CI:$CM,3,0)," ")</f>
        <v xml:space="preserve"> </v>
      </c>
      <c r="BQ62" s="112" t="str">
        <f t="shared" si="51"/>
        <v xml:space="preserve"> </v>
      </c>
      <c r="BR62" s="112" t="str">
        <f t="shared" si="51"/>
        <v xml:space="preserve"> </v>
      </c>
      <c r="BS62" s="112" t="str">
        <f t="shared" si="51"/>
        <v xml:space="preserve"> </v>
      </c>
      <c r="BT62" s="112" t="str">
        <f t="shared" si="51"/>
        <v xml:space="preserve"> </v>
      </c>
      <c r="BU62" s="112" t="str">
        <f t="shared" si="51"/>
        <v xml:space="preserve"> </v>
      </c>
      <c r="BV62" s="94"/>
      <c r="BW62" s="94"/>
      <c r="BX62" s="94"/>
      <c r="BY62" s="94"/>
      <c r="BZ62" s="94"/>
      <c r="CA62" s="39"/>
      <c r="CB62" s="39"/>
      <c r="CC62" s="39"/>
      <c r="CD62" s="39"/>
      <c r="CE62" s="40"/>
      <c r="CG62" s="517"/>
      <c r="CI62" s="60">
        <v>213482</v>
      </c>
      <c r="CJ62" s="60">
        <v>213481</v>
      </c>
      <c r="CK62" s="60" t="s">
        <v>118</v>
      </c>
      <c r="CL62" s="60">
        <v>210654</v>
      </c>
      <c r="CM62" s="60" t="str">
        <f t="shared" si="20"/>
        <v>LAMINA GEN LACADA TIPO D 0,195</v>
      </c>
      <c r="CN62" s="226">
        <v>210656</v>
      </c>
      <c r="CO62" s="226">
        <v>4918</v>
      </c>
      <c r="CQ62" s="185"/>
      <c r="CR62" s="503" t="s">
        <v>292</v>
      </c>
      <c r="CS62" s="503"/>
      <c r="CT62" s="503"/>
      <c r="CU62" s="503"/>
      <c r="CV62" s="503"/>
      <c r="CW62" s="503"/>
      <c r="CX62" s="503"/>
      <c r="CY62" s="503"/>
      <c r="CZ62" s="503"/>
      <c r="DA62" s="185"/>
      <c r="DB62" s="185"/>
      <c r="DC62" s="185"/>
      <c r="DD62" s="185"/>
      <c r="DE62" s="185"/>
      <c r="DF62" s="185"/>
      <c r="DG62" s="185"/>
      <c r="DH62" s="185"/>
      <c r="DI62" s="185"/>
      <c r="DJ62" s="185"/>
      <c r="DK62" s="185"/>
    </row>
    <row r="63" spans="1:115" ht="15" customHeight="1" x14ac:dyDescent="0.15">
      <c r="A63" s="35"/>
      <c r="B63" s="404" t="s">
        <v>293</v>
      </c>
      <c r="C63" s="404"/>
      <c r="D63" s="167">
        <f>N54*1690</f>
        <v>0</v>
      </c>
      <c r="E63" s="168">
        <v>1.1259999999999999</v>
      </c>
      <c r="F63" s="167">
        <f t="shared" si="48"/>
        <v>0</v>
      </c>
      <c r="G63" s="33"/>
      <c r="H63" s="453" t="s">
        <v>294</v>
      </c>
      <c r="I63" s="453"/>
      <c r="J63" s="453"/>
      <c r="K63" s="453"/>
      <c r="L63" s="22"/>
      <c r="M63" s="453" t="s">
        <v>294</v>
      </c>
      <c r="N63" s="453"/>
      <c r="O63" s="453"/>
      <c r="P63" s="453"/>
      <c r="Q63" s="107"/>
      <c r="R63" s="453" t="s">
        <v>294</v>
      </c>
      <c r="S63" s="453"/>
      <c r="T63" s="453"/>
      <c r="U63" s="453"/>
      <c r="V63" s="22"/>
      <c r="W63" s="453" t="s">
        <v>294</v>
      </c>
      <c r="X63" s="453"/>
      <c r="Y63" s="453"/>
      <c r="Z63" s="453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115"/>
      <c r="AL63" s="35"/>
      <c r="AM63" s="33"/>
      <c r="AN63" s="35"/>
      <c r="AO63" s="35"/>
      <c r="AP63" s="33"/>
      <c r="AQ63" s="33"/>
      <c r="AR63" s="33"/>
      <c r="AS63" s="120" t="s">
        <v>178</v>
      </c>
      <c r="AT63" s="120" t="s">
        <v>4</v>
      </c>
      <c r="AU63" s="120" t="s">
        <v>4</v>
      </c>
      <c r="AV63" s="120" t="s">
        <v>4</v>
      </c>
      <c r="AW63" s="22"/>
      <c r="AX63" s="22"/>
      <c r="AY63" s="22"/>
      <c r="AZ63" s="22"/>
      <c r="BA63" s="22"/>
      <c r="BB63" s="33"/>
      <c r="BC63" s="120"/>
      <c r="BD63" s="120"/>
      <c r="BE63" s="120"/>
      <c r="BF63" s="38"/>
      <c r="BG63" s="113" t="s">
        <v>4</v>
      </c>
      <c r="BH63" s="113"/>
      <c r="BI63" s="113"/>
      <c r="BJ63" s="113"/>
      <c r="BK63" s="113"/>
      <c r="BL63" s="113"/>
      <c r="BM63" s="113"/>
      <c r="BN63" s="97"/>
      <c r="BO63" s="97"/>
      <c r="BP63" s="113"/>
      <c r="BQ63" s="113"/>
      <c r="BR63" s="113"/>
      <c r="BS63" s="113"/>
      <c r="BT63" s="113"/>
      <c r="BU63" s="113"/>
      <c r="BV63" s="38"/>
      <c r="BW63" s="38"/>
      <c r="BX63" s="94"/>
      <c r="BY63" s="94"/>
      <c r="BZ63" s="94"/>
      <c r="CA63" s="39"/>
      <c r="CB63" s="39"/>
      <c r="CC63" s="39"/>
      <c r="CD63" s="39"/>
      <c r="CE63" s="47"/>
      <c r="CG63" s="517"/>
      <c r="CH63" s="44"/>
      <c r="CI63" s="60">
        <v>213351</v>
      </c>
      <c r="CJ63" s="60">
        <v>213349</v>
      </c>
      <c r="CK63" s="60" t="s">
        <v>120</v>
      </c>
      <c r="CL63" s="60">
        <v>210656</v>
      </c>
      <c r="CM63" s="60" t="str">
        <f t="shared" si="20"/>
        <v>LAMINA GEN BASE BLANCA LACADA TIPO D 0.195</v>
      </c>
      <c r="CN63" s="226">
        <v>0</v>
      </c>
      <c r="CO63" s="226">
        <v>0</v>
      </c>
      <c r="CQ63" s="185"/>
      <c r="CR63" s="504" t="s">
        <v>295</v>
      </c>
      <c r="CS63" s="504"/>
      <c r="CT63" s="504"/>
      <c r="CU63" s="504"/>
      <c r="CV63" s="504"/>
      <c r="CW63" s="504"/>
      <c r="CX63" s="504"/>
      <c r="CY63" s="504"/>
      <c r="CZ63" s="504"/>
      <c r="DA63" s="185"/>
      <c r="DB63" s="185"/>
      <c r="DC63" s="185"/>
      <c r="DD63" s="185"/>
      <c r="DE63" s="185"/>
      <c r="DF63" s="185"/>
      <c r="DG63" s="185"/>
      <c r="DH63" s="185"/>
      <c r="DI63" s="185"/>
      <c r="DJ63" s="185"/>
      <c r="DK63" s="185"/>
    </row>
    <row r="64" spans="1:115" ht="15" customHeight="1" x14ac:dyDescent="0.15">
      <c r="A64" s="35"/>
      <c r="B64" s="22"/>
      <c r="C64" s="22"/>
      <c r="D64" s="22"/>
      <c r="E64" s="22"/>
      <c r="F64" s="236">
        <f>F58+F60+F61+F63+F62</f>
        <v>567885.74799999991</v>
      </c>
      <c r="G64" s="33"/>
      <c r="H64" s="22"/>
      <c r="I64" s="22"/>
      <c r="J64" s="22"/>
      <c r="K64" s="22"/>
      <c r="L64" s="22"/>
      <c r="M64" s="22"/>
      <c r="N64" s="22"/>
      <c r="O64" s="22"/>
      <c r="P64" s="22"/>
      <c r="Q64" s="107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115"/>
      <c r="AL64" s="35"/>
      <c r="AM64" s="33"/>
      <c r="AN64" s="35"/>
      <c r="AO64" s="35"/>
      <c r="AP64" s="33"/>
      <c r="AQ64" s="33"/>
      <c r="AR64" s="33"/>
      <c r="AS64" s="121"/>
      <c r="AT64" s="121">
        <v>12</v>
      </c>
      <c r="AU64" s="121"/>
      <c r="AV64" s="121"/>
      <c r="AW64" s="22"/>
      <c r="AX64" s="22"/>
      <c r="AY64" s="22"/>
      <c r="AZ64" s="22"/>
      <c r="BA64" s="22"/>
      <c r="BB64" s="33"/>
      <c r="BC64" s="121"/>
      <c r="BD64" s="121"/>
      <c r="BE64" s="121"/>
      <c r="BF64" s="38"/>
      <c r="BG64" s="122"/>
      <c r="BH64" s="122"/>
      <c r="BI64" s="122"/>
      <c r="BJ64" s="122"/>
      <c r="BK64" s="122"/>
      <c r="BL64" s="22"/>
      <c r="BM64" s="122"/>
      <c r="BN64" s="97"/>
      <c r="BO64" s="97"/>
      <c r="BP64" s="122"/>
      <c r="BQ64" s="122"/>
      <c r="BR64" s="122"/>
      <c r="BS64" s="122"/>
      <c r="BT64" s="122"/>
      <c r="BU64" s="122"/>
      <c r="BV64" s="38"/>
      <c r="BW64" s="38"/>
      <c r="BX64" s="94"/>
      <c r="BY64" s="94"/>
      <c r="BZ64" s="94"/>
      <c r="CA64" s="39"/>
      <c r="CB64" s="39"/>
      <c r="CC64" s="39"/>
      <c r="CD64" s="39"/>
      <c r="CE64" s="40"/>
      <c r="CG64" s="517"/>
      <c r="CH64" s="44"/>
      <c r="CI64" s="60">
        <v>213325</v>
      </c>
      <c r="CJ64" s="60">
        <v>213322</v>
      </c>
      <c r="CK64" s="60" t="s">
        <v>122</v>
      </c>
      <c r="CL64" s="60">
        <v>210656</v>
      </c>
      <c r="CM64" s="60" t="str">
        <f t="shared" si="20"/>
        <v>LAMINA GEN BASE BLANCA LACADA TIPO D 0.195</v>
      </c>
      <c r="CN64" s="226">
        <v>0</v>
      </c>
      <c r="CO64" s="226">
        <v>0</v>
      </c>
      <c r="CQ64" s="185"/>
      <c r="CR64" s="505" t="s">
        <v>296</v>
      </c>
      <c r="CS64" s="505"/>
      <c r="CT64" s="505"/>
      <c r="CU64" s="505"/>
      <c r="CV64" s="505"/>
      <c r="CW64" s="505"/>
      <c r="CX64" s="505"/>
      <c r="CY64" s="505"/>
      <c r="CZ64" s="505"/>
      <c r="DA64" s="185"/>
      <c r="DB64" s="185"/>
      <c r="DC64" s="185"/>
      <c r="DD64" s="185"/>
      <c r="DE64" s="185"/>
      <c r="DF64" s="185"/>
      <c r="DG64" s="185"/>
      <c r="DH64" s="185"/>
      <c r="DI64" s="185"/>
      <c r="DJ64" s="185"/>
      <c r="DK64" s="185"/>
    </row>
    <row r="65" spans="1:115" ht="15" customHeight="1" x14ac:dyDescent="0.15">
      <c r="A65" s="35"/>
      <c r="B65" s="22"/>
      <c r="C65" s="22"/>
      <c r="D65" s="22"/>
      <c r="E65" s="22"/>
      <c r="F65" s="22"/>
      <c r="G65" s="33"/>
      <c r="H65" s="454" t="s">
        <v>297</v>
      </c>
      <c r="I65" s="454"/>
      <c r="J65" s="454"/>
      <c r="K65" s="454"/>
      <c r="L65" s="22"/>
      <c r="M65" s="490" t="s">
        <v>298</v>
      </c>
      <c r="N65" s="490"/>
      <c r="O65" s="490"/>
      <c r="P65" s="490"/>
      <c r="Q65" s="107"/>
      <c r="R65" s="463" t="s">
        <v>299</v>
      </c>
      <c r="S65" s="463"/>
      <c r="T65" s="463"/>
      <c r="U65" s="463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115"/>
      <c r="AL65" s="35"/>
      <c r="AM65" s="33"/>
      <c r="AN65" s="35"/>
      <c r="AO65" s="35"/>
      <c r="AP65" s="33"/>
      <c r="AQ65" s="33"/>
      <c r="AR65" s="33"/>
      <c r="AS65" s="121"/>
      <c r="AT65" s="121"/>
      <c r="AU65" s="121"/>
      <c r="AV65" s="121"/>
      <c r="AW65" s="22"/>
      <c r="AX65" s="22"/>
      <c r="AY65" s="22"/>
      <c r="AZ65" s="22"/>
      <c r="BA65" s="22"/>
      <c r="BB65" s="33"/>
      <c r="BC65" s="121"/>
      <c r="BD65" s="121"/>
      <c r="BE65" s="121"/>
      <c r="BF65" s="38"/>
      <c r="BG65" s="122"/>
      <c r="BH65" s="122"/>
      <c r="BI65" s="122"/>
      <c r="BJ65" s="122"/>
      <c r="BK65" s="122"/>
      <c r="BL65" s="22"/>
      <c r="BM65" s="122"/>
      <c r="BN65" s="97"/>
      <c r="BO65" s="97"/>
      <c r="BP65" s="122"/>
      <c r="BQ65" s="122"/>
      <c r="BR65" s="122"/>
      <c r="BS65" s="122"/>
      <c r="BT65" s="122"/>
      <c r="BU65" s="122"/>
      <c r="BV65" s="38"/>
      <c r="BW65" s="38"/>
      <c r="BX65" s="94"/>
      <c r="BY65" s="94"/>
      <c r="BZ65" s="94"/>
      <c r="CA65" s="39"/>
      <c r="CB65" s="39"/>
      <c r="CC65" s="39"/>
      <c r="CD65" s="39"/>
      <c r="CE65" s="47"/>
      <c r="CG65" s="517"/>
      <c r="CH65" s="44"/>
      <c r="CI65" s="60">
        <v>213637</v>
      </c>
      <c r="CJ65" s="60">
        <v>213635</v>
      </c>
      <c r="CK65" s="60" t="s">
        <v>124</v>
      </c>
      <c r="CL65" s="60">
        <v>213677</v>
      </c>
      <c r="CM65" s="60" t="str">
        <f t="shared" si="20"/>
        <v>LAMINA LACADA SIZING PROM TIPO D 0.195</v>
      </c>
      <c r="CN65" s="226">
        <v>0</v>
      </c>
      <c r="CO65" s="226">
        <v>0</v>
      </c>
      <c r="CQ65" s="185"/>
      <c r="CR65" s="506" t="s">
        <v>300</v>
      </c>
      <c r="CS65" s="506"/>
      <c r="CT65" s="506"/>
      <c r="CU65" s="506"/>
      <c r="CV65" s="506"/>
      <c r="CW65" s="506"/>
      <c r="CX65" s="506"/>
      <c r="CY65" s="506"/>
      <c r="CZ65" s="506"/>
      <c r="DA65" s="185"/>
      <c r="DB65" s="185"/>
      <c r="DC65" s="185"/>
      <c r="DD65" s="185"/>
      <c r="DE65" s="185"/>
      <c r="DF65" s="185"/>
      <c r="DG65" s="185"/>
      <c r="DH65" s="185"/>
      <c r="DI65" s="185"/>
      <c r="DJ65" s="185"/>
      <c r="DK65" s="185"/>
    </row>
    <row r="66" spans="1:115" ht="15" customHeight="1" x14ac:dyDescent="0.15">
      <c r="A66" s="38"/>
      <c r="B66" s="491" t="s">
        <v>301</v>
      </c>
      <c r="C66" s="491"/>
      <c r="D66" s="234">
        <f>D58+D60+D61+D63+D62</f>
        <v>441148</v>
      </c>
      <c r="E66" s="22"/>
      <c r="F66" s="22"/>
      <c r="G66" s="33"/>
      <c r="H66" s="169">
        <f>D66-B82</f>
        <v>140256</v>
      </c>
      <c r="I66" s="170">
        <f>H66/1548</f>
        <v>90.604651162790702</v>
      </c>
      <c r="J66" s="171">
        <f>H66/1680</f>
        <v>83.48571428571428</v>
      </c>
      <c r="K66" s="172">
        <f>H66/1400</f>
        <v>100.18285714285715</v>
      </c>
      <c r="L66" s="22"/>
      <c r="M66" s="492">
        <f>T60/37500</f>
        <v>2.4243199999999998</v>
      </c>
      <c r="N66" s="492"/>
      <c r="O66" s="492"/>
      <c r="P66" s="492"/>
      <c r="Q66" s="107"/>
      <c r="R66" s="401" t="s">
        <v>302</v>
      </c>
      <c r="S66" s="401"/>
      <c r="T66" s="401" t="s">
        <v>303</v>
      </c>
      <c r="U66" s="401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115"/>
      <c r="AL66" s="38"/>
      <c r="AM66" s="38"/>
      <c r="AN66" s="38"/>
      <c r="AO66" s="38"/>
      <c r="AP66" s="33"/>
      <c r="AQ66" s="33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3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9"/>
      <c r="CB66" s="39"/>
      <c r="CC66" s="39"/>
      <c r="CD66" s="39"/>
      <c r="CE66" s="40"/>
      <c r="CG66" s="517"/>
      <c r="CH66" s="44"/>
      <c r="CI66" s="60">
        <v>213679</v>
      </c>
      <c r="CJ66" s="60">
        <v>213676</v>
      </c>
      <c r="CK66" s="60" t="s">
        <v>126</v>
      </c>
      <c r="CL66" s="60">
        <v>213677</v>
      </c>
      <c r="CM66" s="60" t="str">
        <f t="shared" si="20"/>
        <v>LAMINA LACADA SIZING PROM TIPO D 0.195</v>
      </c>
      <c r="CN66" s="226">
        <v>0</v>
      </c>
      <c r="CO66" s="226">
        <v>0</v>
      </c>
      <c r="CQ66" s="145"/>
      <c r="CR66" s="507" t="s">
        <v>304</v>
      </c>
      <c r="CS66" s="507"/>
      <c r="CT66" s="507"/>
      <c r="CU66" s="507"/>
      <c r="CV66" s="507"/>
      <c r="CW66" s="507"/>
      <c r="CX66" s="507"/>
      <c r="CY66" s="507"/>
      <c r="CZ66" s="507"/>
    </row>
    <row r="67" spans="1:115" ht="14.25" customHeight="1" x14ac:dyDescent="0.15">
      <c r="A67" s="38"/>
      <c r="B67" s="491" t="s">
        <v>305</v>
      </c>
      <c r="C67" s="491"/>
      <c r="D67" s="234">
        <f>D59</f>
        <v>464750</v>
      </c>
      <c r="E67" s="22"/>
      <c r="F67" s="22"/>
      <c r="G67" s="33"/>
      <c r="H67" s="173" t="s">
        <v>306</v>
      </c>
      <c r="I67" s="493" t="s">
        <v>307</v>
      </c>
      <c r="J67" s="493"/>
      <c r="K67" s="493"/>
      <c r="L67" s="22"/>
      <c r="M67" s="492"/>
      <c r="N67" s="492"/>
      <c r="O67" s="492"/>
      <c r="P67" s="492"/>
      <c r="Q67" s="107"/>
      <c r="R67" s="400">
        <v>0</v>
      </c>
      <c r="S67" s="400"/>
      <c r="T67" s="400">
        <v>259000</v>
      </c>
      <c r="U67" s="400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115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9"/>
      <c r="CB67" s="39"/>
      <c r="CC67" s="39"/>
      <c r="CD67" s="39"/>
      <c r="CE67" s="47"/>
      <c r="CG67" s="517"/>
      <c r="CH67" s="44"/>
      <c r="CI67" s="60">
        <v>213732</v>
      </c>
      <c r="CJ67" s="60">
        <v>213731</v>
      </c>
      <c r="CK67" s="60" t="s">
        <v>128</v>
      </c>
      <c r="CL67" s="60">
        <v>210654</v>
      </c>
      <c r="CM67" s="60" t="str">
        <f t="shared" si="20"/>
        <v>LAMINA GEN LACADA TIPO D 0,195</v>
      </c>
      <c r="CN67" s="226">
        <v>0</v>
      </c>
      <c r="CO67" s="226">
        <v>0</v>
      </c>
      <c r="CQ67" s="145"/>
      <c r="CR67" s="145"/>
    </row>
    <row r="68" spans="1:115" ht="14.25" customHeight="1" x14ac:dyDescent="0.15">
      <c r="A68" s="38"/>
      <c r="B68" s="22"/>
      <c r="C68" s="22"/>
      <c r="D68" s="22"/>
      <c r="E68" s="22"/>
      <c r="F68" s="22"/>
      <c r="G68" s="33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115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9"/>
      <c r="CB68" s="39"/>
      <c r="CC68" s="39"/>
      <c r="CD68" s="39"/>
      <c r="CE68" s="40"/>
      <c r="CG68" s="517"/>
      <c r="CH68" s="44"/>
      <c r="CI68" s="60">
        <v>213738</v>
      </c>
      <c r="CJ68" s="60">
        <v>213735</v>
      </c>
      <c r="CK68" s="60" t="s">
        <v>130</v>
      </c>
      <c r="CL68" s="60">
        <v>210655</v>
      </c>
      <c r="CM68" s="60" t="str">
        <f t="shared" si="20"/>
        <v>LAMINA GEN LACADA SIZING TIPO D 0,195</v>
      </c>
      <c r="CN68" s="226">
        <v>0</v>
      </c>
      <c r="CO68" s="226">
        <v>0</v>
      </c>
      <c r="CQ68" s="145"/>
      <c r="CR68" s="145"/>
    </row>
    <row r="69" spans="1:115" ht="15" customHeight="1" x14ac:dyDescent="0.15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240"/>
      <c r="S69" s="241"/>
      <c r="T69" s="241"/>
      <c r="U69" s="242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  <c r="AI69" s="123"/>
      <c r="AJ69" s="123"/>
      <c r="AK69" s="124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125"/>
      <c r="BD69" s="125"/>
      <c r="BE69" s="125"/>
      <c r="BF69" s="125"/>
      <c r="BG69" s="125"/>
      <c r="BH69" s="125"/>
      <c r="BI69" s="125"/>
      <c r="BJ69" s="125"/>
      <c r="BK69" s="125"/>
      <c r="BL69" s="125"/>
      <c r="BM69" s="125"/>
      <c r="BN69" s="125"/>
      <c r="BO69" s="125"/>
      <c r="BP69" s="125"/>
      <c r="BQ69" s="125"/>
      <c r="BR69" s="125"/>
      <c r="BS69" s="125"/>
      <c r="BT69" s="125"/>
      <c r="BU69" s="125"/>
      <c r="BV69" s="125"/>
      <c r="BW69" s="125"/>
      <c r="BX69" s="125"/>
      <c r="BY69" s="125"/>
      <c r="BZ69" s="125"/>
      <c r="CA69" s="126"/>
      <c r="CB69" s="126"/>
      <c r="CC69" s="126"/>
      <c r="CD69" s="127"/>
      <c r="CE69" s="47"/>
      <c r="CF69" s="127"/>
      <c r="CG69" s="517"/>
      <c r="CH69" s="126"/>
      <c r="CI69" s="60">
        <v>213364</v>
      </c>
      <c r="CJ69" s="60"/>
      <c r="CK69" s="60" t="s">
        <v>131</v>
      </c>
      <c r="CL69" s="60">
        <v>210655</v>
      </c>
      <c r="CM69" s="60" t="str">
        <f t="shared" si="20"/>
        <v>LAMINA GEN LACADA SIZING TIPO D 0,195</v>
      </c>
      <c r="CN69" s="226">
        <v>0</v>
      </c>
      <c r="CO69" s="226">
        <v>0</v>
      </c>
      <c r="CQ69" s="145"/>
      <c r="CR69" s="145"/>
    </row>
    <row r="70" spans="1:115" ht="15" customHeight="1" x14ac:dyDescent="0.1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55"/>
      <c r="S70" s="456"/>
      <c r="T70" s="456"/>
      <c r="U70" s="457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4"/>
      <c r="CB70" s="44"/>
      <c r="CC70" s="44"/>
      <c r="CD70" s="46"/>
      <c r="CE70" s="46"/>
      <c r="CF70" s="46"/>
      <c r="CG70" s="46"/>
      <c r="CH70" s="44"/>
      <c r="CI70" s="60">
        <v>213807</v>
      </c>
      <c r="CJ70" s="60">
        <v>213805</v>
      </c>
      <c r="CK70" s="60" t="s">
        <v>133</v>
      </c>
      <c r="CL70" s="60">
        <v>210655</v>
      </c>
      <c r="CM70" s="60" t="str">
        <f t="shared" si="20"/>
        <v>LAMINA GEN LACADA SIZING TIPO D 0,195</v>
      </c>
      <c r="CN70" s="226" cm="1">
        <f t="array" ref="CN70:CN74">TRANSPOSE(CP7:CT7)</f>
        <v>0</v>
      </c>
      <c r="CO70" s="226" cm="1">
        <f t="array" ref="CO70:CO74">TRANSPOSE(CP8:CT8)</f>
        <v>0</v>
      </c>
      <c r="CQ70" s="145"/>
      <c r="CR70" s="145"/>
    </row>
    <row r="71" spans="1:115" ht="15.75" customHeight="1" x14ac:dyDescent="0.1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128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44"/>
      <c r="CB71" s="46"/>
      <c r="CC71" s="46"/>
      <c r="CD71" s="46"/>
      <c r="CE71" s="46"/>
      <c r="CF71" s="129"/>
      <c r="CG71" s="46"/>
      <c r="CH71" s="44"/>
      <c r="CI71" s="60">
        <v>213239</v>
      </c>
      <c r="CJ71" s="60">
        <v>213302</v>
      </c>
      <c r="CK71" s="60" t="s">
        <v>135</v>
      </c>
      <c r="CL71" s="60">
        <v>210655</v>
      </c>
      <c r="CM71" s="60" t="str">
        <f t="shared" si="20"/>
        <v>LAMINA GEN LACADA SIZING TIPO D 0,195</v>
      </c>
      <c r="CN71" s="226">
        <v>213732</v>
      </c>
      <c r="CO71" s="226">
        <v>743</v>
      </c>
      <c r="CQ71" s="145"/>
      <c r="CR71" s="145"/>
    </row>
    <row r="72" spans="1:115" ht="15.75" customHeight="1" x14ac:dyDescent="0.15">
      <c r="A72" s="130"/>
      <c r="AP72" s="131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3"/>
      <c r="BK72" s="134"/>
      <c r="BL72" s="134"/>
      <c r="BM72" s="134"/>
      <c r="BN72" s="134"/>
      <c r="BO72" s="134"/>
      <c r="BP72" s="134"/>
      <c r="BQ72" s="134"/>
      <c r="BR72" s="134"/>
      <c r="BS72" s="134"/>
      <c r="BT72" s="134"/>
      <c r="BU72" s="134"/>
      <c r="BV72" s="134"/>
      <c r="BW72" s="134"/>
      <c r="BX72" s="134"/>
      <c r="BY72" s="134"/>
      <c r="BZ72" s="134"/>
      <c r="CA72" s="134"/>
      <c r="CB72" s="134"/>
      <c r="CC72" s="134"/>
      <c r="CD72" s="134"/>
      <c r="CE72" s="134"/>
      <c r="CF72" s="134"/>
      <c r="CG72" s="134"/>
      <c r="CH72" s="134"/>
      <c r="CI72" s="60">
        <v>213367</v>
      </c>
      <c r="CJ72" s="60">
        <v>213361</v>
      </c>
      <c r="CK72" s="60" t="s">
        <v>138</v>
      </c>
      <c r="CL72" s="60">
        <v>210655</v>
      </c>
      <c r="CM72" s="60" t="str">
        <f t="shared" si="20"/>
        <v>LAMINA GEN LACADA SIZING TIPO D 0,195</v>
      </c>
      <c r="CN72" s="226">
        <v>213637</v>
      </c>
      <c r="CO72" s="226">
        <v>974</v>
      </c>
      <c r="CQ72" s="145"/>
      <c r="CR72" s="145"/>
    </row>
    <row r="73" spans="1:115" ht="15.75" customHeight="1" x14ac:dyDescent="0.15">
      <c r="B73" s="494" t="s">
        <v>308</v>
      </c>
      <c r="C73" s="495"/>
      <c r="D73" s="495"/>
      <c r="E73" s="495"/>
      <c r="F73" s="495"/>
      <c r="G73" s="496"/>
      <c r="H73" s="497" t="s">
        <v>309</v>
      </c>
      <c r="I73" s="498"/>
      <c r="J73" s="498"/>
      <c r="K73" s="498"/>
      <c r="L73" s="498"/>
      <c r="M73" s="499"/>
      <c r="R73" s="406" t="s">
        <v>310</v>
      </c>
      <c r="S73" s="406"/>
      <c r="T73" s="406"/>
      <c r="U73" s="406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5"/>
      <c r="AQ73" s="136"/>
      <c r="AR73" s="136"/>
      <c r="AS73" s="136"/>
      <c r="AT73" s="136"/>
      <c r="AU73" s="136"/>
      <c r="AV73" s="137"/>
      <c r="AW73" s="136"/>
      <c r="AX73" s="136"/>
      <c r="AY73" s="136"/>
      <c r="AZ73" s="136"/>
      <c r="BA73" s="136"/>
      <c r="BB73" s="136"/>
      <c r="BC73" s="138"/>
      <c r="BK73" s="139"/>
      <c r="BL73" s="139"/>
      <c r="BM73" s="139"/>
      <c r="BN73" s="139"/>
      <c r="BO73" s="139"/>
      <c r="BP73" s="139"/>
      <c r="BQ73" s="134"/>
      <c r="BR73" s="134"/>
      <c r="BS73" s="134"/>
      <c r="BT73" s="134"/>
      <c r="BU73" s="134"/>
      <c r="BV73" s="134"/>
      <c r="BW73" s="134"/>
      <c r="BX73" s="134"/>
      <c r="BY73" s="134"/>
      <c r="BZ73" s="134"/>
      <c r="CA73" s="134"/>
      <c r="CB73" s="134"/>
      <c r="CC73" s="134"/>
      <c r="CD73" s="134"/>
      <c r="CE73" s="134"/>
      <c r="CF73" s="134"/>
      <c r="CG73" s="134"/>
      <c r="CH73" s="134"/>
      <c r="CI73" s="60">
        <v>206890</v>
      </c>
      <c r="CJ73" s="60">
        <v>202918</v>
      </c>
      <c r="CK73" s="60" t="s">
        <v>141</v>
      </c>
      <c r="CL73" s="60" t="s">
        <v>178</v>
      </c>
      <c r="CM73" s="60" t="s">
        <v>178</v>
      </c>
      <c r="CN73" s="226">
        <v>213868</v>
      </c>
      <c r="CO73" s="226">
        <v>400</v>
      </c>
      <c r="CQ73" s="145"/>
      <c r="CR73" s="145"/>
    </row>
    <row r="74" spans="1:115" ht="15.75" customHeight="1" x14ac:dyDescent="0.15">
      <c r="B74" s="500" t="s">
        <v>311</v>
      </c>
      <c r="C74" s="501"/>
      <c r="D74" s="501"/>
      <c r="E74" s="501"/>
      <c r="F74" s="501"/>
      <c r="G74" s="502"/>
      <c r="H74" s="447" t="s">
        <v>311</v>
      </c>
      <c r="I74" s="448"/>
      <c r="J74" s="448"/>
      <c r="K74" s="448"/>
      <c r="L74" s="448"/>
      <c r="M74" s="449"/>
      <c r="R74" s="406"/>
      <c r="S74" s="406"/>
      <c r="T74" s="406"/>
      <c r="U74" s="406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  <c r="AK74" s="130"/>
      <c r="AL74" s="130"/>
      <c r="AM74" s="130"/>
      <c r="AN74" s="130"/>
      <c r="AO74" s="130"/>
      <c r="BK74" s="130"/>
      <c r="BL74" s="130"/>
      <c r="BM74" s="130"/>
      <c r="BN74" s="130"/>
      <c r="BO74" s="130"/>
      <c r="BP74" s="130"/>
      <c r="BQ74" s="140"/>
      <c r="BR74" s="140"/>
      <c r="BS74" s="140"/>
      <c r="BT74" s="140"/>
      <c r="BU74" s="130"/>
      <c r="BV74" s="130"/>
      <c r="BW74" s="130"/>
      <c r="BX74" s="130"/>
      <c r="BY74" s="130"/>
      <c r="BZ74" s="130"/>
      <c r="CA74" s="130"/>
      <c r="CB74" s="130"/>
      <c r="CC74" s="130"/>
      <c r="CD74" s="130"/>
      <c r="CE74" s="130"/>
      <c r="CF74" s="130"/>
      <c r="CG74" s="130"/>
      <c r="CI74" s="60">
        <v>202737</v>
      </c>
      <c r="CJ74" s="60">
        <v>208472</v>
      </c>
      <c r="CK74" s="60" t="s">
        <v>142</v>
      </c>
      <c r="CL74" s="60" t="s">
        <v>178</v>
      </c>
      <c r="CM74" s="60" t="s">
        <v>178</v>
      </c>
      <c r="CN74" s="226">
        <v>211691</v>
      </c>
      <c r="CO74" s="226">
        <v>1847</v>
      </c>
      <c r="CQ74" s="145"/>
      <c r="CR74" s="145"/>
    </row>
    <row r="75" spans="1:115" ht="15.75" customHeight="1" x14ac:dyDescent="0.15">
      <c r="B75" s="469">
        <v>222760</v>
      </c>
      <c r="C75" s="470"/>
      <c r="D75" s="470"/>
      <c r="E75" s="470"/>
      <c r="F75" s="470"/>
      <c r="G75" s="471"/>
      <c r="H75" s="444">
        <f>B75*1.292</f>
        <v>287805.92</v>
      </c>
      <c r="I75" s="445"/>
      <c r="J75" s="445"/>
      <c r="K75" s="445"/>
      <c r="L75" s="445"/>
      <c r="M75" s="446"/>
      <c r="R75" s="401" t="s">
        <v>286</v>
      </c>
      <c r="S75" s="401"/>
      <c r="T75" s="405" t="s">
        <v>216</v>
      </c>
      <c r="U75" s="405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450" t="s">
        <v>312</v>
      </c>
      <c r="AQ75" s="451"/>
      <c r="AR75" s="451"/>
      <c r="AS75" s="451"/>
      <c r="AT75" s="451"/>
      <c r="AU75" s="451"/>
      <c r="AV75" s="451"/>
      <c r="AW75" s="451"/>
      <c r="AX75" s="451"/>
      <c r="AY75" s="451"/>
      <c r="AZ75" s="451"/>
      <c r="BA75" s="451"/>
      <c r="BB75" s="451"/>
      <c r="BC75" s="246" t="s">
        <v>313</v>
      </c>
      <c r="BK75" s="130"/>
      <c r="BL75" s="130"/>
      <c r="BM75" s="130"/>
      <c r="BN75" s="130"/>
      <c r="BO75" s="130"/>
      <c r="BP75" s="130"/>
      <c r="BQ75" s="140"/>
      <c r="BR75" s="140"/>
      <c r="BS75" s="140"/>
      <c r="BT75" s="140"/>
      <c r="BU75" s="139"/>
      <c r="BV75" s="139"/>
      <c r="BW75" s="139"/>
      <c r="BX75" s="139"/>
      <c r="BY75" s="139"/>
      <c r="BZ75" s="139"/>
      <c r="CA75" s="139"/>
      <c r="CB75" s="130"/>
      <c r="CC75" s="130"/>
      <c r="CD75" s="130"/>
      <c r="CE75" s="130"/>
      <c r="CF75" s="130"/>
      <c r="CG75" s="130"/>
      <c r="CI75" s="60">
        <v>207301</v>
      </c>
      <c r="CJ75" s="60">
        <v>202732</v>
      </c>
      <c r="CK75" s="60" t="s">
        <v>143</v>
      </c>
      <c r="CL75" s="60" t="s">
        <v>178</v>
      </c>
      <c r="CM75" s="60" t="s">
        <v>178</v>
      </c>
      <c r="CN75" s="226" cm="1">
        <f t="array" ref="CN75:CN79">TRANSPOSE(CP10:CT10)</f>
        <v>0</v>
      </c>
      <c r="CO75" s="226" cm="1">
        <f t="array" ref="CO75:CO79">TRANSPOSE(CP11:CT11)</f>
        <v>0</v>
      </c>
      <c r="CR75" s="145"/>
    </row>
    <row r="76" spans="1:115" ht="15.75" customHeight="1" x14ac:dyDescent="0.15">
      <c r="B76" s="447" t="s">
        <v>314</v>
      </c>
      <c r="C76" s="448"/>
      <c r="D76" s="448"/>
      <c r="E76" s="448"/>
      <c r="F76" s="448"/>
      <c r="G76" s="449"/>
      <c r="H76" s="447" t="s">
        <v>314</v>
      </c>
      <c r="I76" s="448"/>
      <c r="J76" s="448"/>
      <c r="K76" s="448"/>
      <c r="L76" s="448"/>
      <c r="M76" s="449"/>
      <c r="R76" s="402">
        <f>1170*1500</f>
        <v>1755000</v>
      </c>
      <c r="S76" s="402"/>
      <c r="T76" s="400">
        <f>+D66+R67-T67</f>
        <v>182148</v>
      </c>
      <c r="U76" s="40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  <c r="AK76" s="130"/>
      <c r="AL76" s="130"/>
      <c r="AM76" s="130"/>
      <c r="AN76" s="130"/>
      <c r="AO76" s="130"/>
      <c r="AP76" s="141" t="s">
        <v>315</v>
      </c>
      <c r="AQ76" s="141" t="s">
        <v>316</v>
      </c>
      <c r="AR76" s="464" t="s">
        <v>173</v>
      </c>
      <c r="AS76" s="465"/>
      <c r="AT76" s="141" t="s">
        <v>177</v>
      </c>
      <c r="AU76" s="141" t="s">
        <v>316</v>
      </c>
      <c r="AV76" s="464" t="s">
        <v>173</v>
      </c>
      <c r="AW76" s="465"/>
      <c r="AX76" s="141" t="s">
        <v>177</v>
      </c>
      <c r="AY76" s="141" t="s">
        <v>316</v>
      </c>
      <c r="AZ76" s="464" t="s">
        <v>173</v>
      </c>
      <c r="BA76" s="465"/>
      <c r="BB76" s="141" t="s">
        <v>177</v>
      </c>
      <c r="BC76" s="141" t="s">
        <v>307</v>
      </c>
      <c r="BK76" s="130"/>
      <c r="BL76" s="130"/>
      <c r="BM76" s="130"/>
      <c r="BN76" s="130"/>
      <c r="BO76" s="130"/>
      <c r="BP76" s="130"/>
      <c r="BQ76" s="139"/>
      <c r="BR76" s="139"/>
      <c r="BS76" s="130"/>
      <c r="BT76" s="139"/>
      <c r="BU76" s="139"/>
      <c r="BV76" s="139"/>
      <c r="BW76" s="139"/>
      <c r="BX76" s="139"/>
      <c r="BY76" s="139"/>
      <c r="BZ76" s="139"/>
      <c r="CA76" s="139"/>
      <c r="CB76" s="130"/>
      <c r="CC76" s="130"/>
      <c r="CD76" s="130"/>
      <c r="CE76" s="130"/>
      <c r="CF76" s="130"/>
      <c r="CG76" s="130"/>
      <c r="CI76" s="60">
        <v>208477</v>
      </c>
      <c r="CJ76" s="60">
        <v>208472</v>
      </c>
      <c r="CK76" s="60" t="s">
        <v>144</v>
      </c>
      <c r="CL76" s="60" t="s">
        <v>178</v>
      </c>
      <c r="CM76" s="60" t="s">
        <v>178</v>
      </c>
      <c r="CN76" s="226">
        <v>0</v>
      </c>
      <c r="CO76" s="226">
        <v>0</v>
      </c>
      <c r="CR76" s="145"/>
    </row>
    <row r="77" spans="1:115" ht="15.75" customHeight="1" x14ac:dyDescent="0.15">
      <c r="B77" s="466">
        <f>+(12*1548)+(15*1548)+(20*1548)</f>
        <v>72756</v>
      </c>
      <c r="C77" s="467"/>
      <c r="D77" s="467"/>
      <c r="E77" s="467"/>
      <c r="F77" s="467"/>
      <c r="G77" s="468"/>
      <c r="H77" s="466">
        <f>B77*1.29</f>
        <v>93855.24</v>
      </c>
      <c r="I77" s="467"/>
      <c r="J77" s="467"/>
      <c r="K77" s="467"/>
      <c r="L77" s="467"/>
      <c r="M77" s="468"/>
      <c r="R77" s="458">
        <f>R76/1500</f>
        <v>1170</v>
      </c>
      <c r="S77" s="458"/>
      <c r="T77" s="459">
        <f>+T76/1500</f>
        <v>121.432</v>
      </c>
      <c r="U77" s="459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41" t="s">
        <v>317</v>
      </c>
      <c r="AQ77" s="141"/>
      <c r="AR77" s="464" t="str">
        <f>IFERROR(VLOOKUP(AQ77,$CI:$CM,3,FALSE),"")</f>
        <v/>
      </c>
      <c r="AS77" s="465"/>
      <c r="AT77" s="141"/>
      <c r="AU77" s="141"/>
      <c r="AV77" s="464" t="str">
        <f>IFERROR(VLOOKUP(AU77,$CI:$CM,3,FALSE),"")</f>
        <v/>
      </c>
      <c r="AW77" s="465"/>
      <c r="AX77" s="142"/>
      <c r="AY77" s="141">
        <v>213996</v>
      </c>
      <c r="AZ77" s="464" t="str">
        <f>IFERROR(VLOOKUP(AY77,$CI:$CM,3,FALSE),"")</f>
        <v>LAMINA AGUILA MF 2026 UV TIPO D 0,195</v>
      </c>
      <c r="BA77" s="465"/>
      <c r="BB77" s="221">
        <f>671+1756+1612+1503</f>
        <v>5542</v>
      </c>
      <c r="BC77" s="245"/>
      <c r="BK77" s="130"/>
      <c r="BL77" s="130"/>
      <c r="BM77" s="130"/>
      <c r="BN77" s="130"/>
      <c r="BO77" s="130"/>
      <c r="BP77" s="130"/>
      <c r="BQ77" s="130"/>
      <c r="BR77" s="130"/>
      <c r="BS77" s="130"/>
      <c r="BT77" s="130"/>
      <c r="BU77" s="130"/>
      <c r="BV77" s="130"/>
      <c r="BW77" s="130"/>
      <c r="BX77" s="130"/>
      <c r="BY77" s="130"/>
      <c r="BZ77" s="130"/>
      <c r="CA77" s="130"/>
      <c r="CB77" s="130"/>
      <c r="CC77" s="130"/>
      <c r="CD77" s="130"/>
      <c r="CE77" s="130"/>
      <c r="CF77" s="130"/>
      <c r="CG77" s="130"/>
      <c r="CI77" s="60">
        <v>204388</v>
      </c>
      <c r="CJ77" s="60">
        <v>204340</v>
      </c>
      <c r="CK77" s="60" t="s">
        <v>146</v>
      </c>
      <c r="CL77" s="60" t="s">
        <v>178</v>
      </c>
      <c r="CM77" s="60" t="s">
        <v>178</v>
      </c>
      <c r="CN77" s="226">
        <v>0</v>
      </c>
      <c r="CO77" s="226">
        <v>0</v>
      </c>
      <c r="CR77" s="145"/>
    </row>
    <row r="78" spans="1:115" ht="15.75" customHeight="1" x14ac:dyDescent="0.15">
      <c r="B78" s="447" t="s">
        <v>318</v>
      </c>
      <c r="C78" s="448"/>
      <c r="D78" s="448"/>
      <c r="E78" s="448"/>
      <c r="F78" s="448"/>
      <c r="G78" s="449"/>
      <c r="H78" s="447" t="s">
        <v>318</v>
      </c>
      <c r="I78" s="448"/>
      <c r="J78" s="448"/>
      <c r="K78" s="448"/>
      <c r="L78" s="448"/>
      <c r="M78" s="449"/>
      <c r="R78" s="412">
        <f>T76/R76</f>
        <v>0.10378803418803419</v>
      </c>
      <c r="S78" s="412"/>
      <c r="T78" s="412"/>
      <c r="U78" s="412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  <c r="AK78" s="130"/>
      <c r="AL78" s="130"/>
      <c r="AM78" s="130"/>
      <c r="AN78" s="130"/>
      <c r="AO78" s="130"/>
      <c r="AP78" s="141" t="s">
        <v>319</v>
      </c>
      <c r="AQ78" s="141"/>
      <c r="AR78" s="464" t="str">
        <f>IFERROR(VLOOKUP(AQ78,$CI:$CM,3,FALSE),"")</f>
        <v/>
      </c>
      <c r="AS78" s="465"/>
      <c r="AT78" s="142"/>
      <c r="AU78" s="141"/>
      <c r="AV78" s="464" t="str">
        <f>IFERROR(VLOOKUP(AU78,$CI:$CM,3,FALSE),"")</f>
        <v/>
      </c>
      <c r="AW78" s="465"/>
      <c r="AX78" s="221"/>
      <c r="AY78" s="141">
        <v>213637</v>
      </c>
      <c r="AZ78" s="464" t="str">
        <f>IFERROR(VLOOKUP(AY78,$CI:$CM,3,FALSE),"")</f>
        <v>LAMINA AGUILA LGT PROMO ALFA TIP D 0.195</v>
      </c>
      <c r="BA78" s="465"/>
      <c r="BB78" s="221">
        <f>1756+1380+270+1659</f>
        <v>5065</v>
      </c>
      <c r="BC78" s="245"/>
      <c r="BK78" s="130"/>
      <c r="BL78" s="130"/>
      <c r="BM78" s="130"/>
      <c r="BN78" s="130"/>
      <c r="BO78" s="130"/>
      <c r="BP78" s="130"/>
      <c r="BQ78" s="130"/>
      <c r="BR78" s="130"/>
      <c r="BS78" s="130"/>
      <c r="BT78" s="130"/>
      <c r="BU78" s="130"/>
      <c r="BV78" s="130"/>
      <c r="BW78" s="130"/>
      <c r="BX78" s="130"/>
      <c r="BY78" s="130"/>
      <c r="BZ78" s="130"/>
      <c r="CA78" s="130"/>
      <c r="CB78" s="130"/>
      <c r="CC78" s="130"/>
      <c r="CD78" s="130"/>
      <c r="CE78" s="130"/>
      <c r="CF78" s="130"/>
      <c r="CG78" s="130"/>
      <c r="CI78" s="60">
        <v>206458</v>
      </c>
      <c r="CJ78" s="60"/>
      <c r="CK78" s="60" t="s">
        <v>147</v>
      </c>
      <c r="CL78" s="60" t="s">
        <v>178</v>
      </c>
      <c r="CM78" s="60" t="s">
        <v>178</v>
      </c>
      <c r="CN78" s="226">
        <v>0</v>
      </c>
      <c r="CO78" s="226">
        <v>0</v>
      </c>
      <c r="CR78" s="145"/>
    </row>
    <row r="79" spans="1:115" ht="15.75" customHeight="1" x14ac:dyDescent="0.15">
      <c r="B79" s="469"/>
      <c r="C79" s="470"/>
      <c r="D79" s="470"/>
      <c r="E79" s="470"/>
      <c r="F79" s="470"/>
      <c r="G79" s="471"/>
      <c r="H79" s="444">
        <f>B79*1.292</f>
        <v>0</v>
      </c>
      <c r="I79" s="445"/>
      <c r="J79" s="445"/>
      <c r="K79" s="445"/>
      <c r="L79" s="445"/>
      <c r="M79" s="446"/>
      <c r="R79" s="453" t="s">
        <v>294</v>
      </c>
      <c r="S79" s="453"/>
      <c r="T79" s="453"/>
      <c r="U79" s="453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141" t="s">
        <v>320</v>
      </c>
      <c r="AQ79" s="141"/>
      <c r="AR79" s="464" t="str">
        <f>IFERROR(VLOOKUP(AQ79,$CI:$CM,3,FALSE),"")</f>
        <v/>
      </c>
      <c r="AS79" s="465"/>
      <c r="AT79" s="141"/>
      <c r="AU79" s="141"/>
      <c r="AV79" s="464" t="str">
        <f>IFERROR(VLOOKUP(AU79,$CI:$CM,3,FALSE),"")</f>
        <v/>
      </c>
      <c r="AW79" s="465"/>
      <c r="AX79" s="222"/>
      <c r="AY79" s="141">
        <v>213738</v>
      </c>
      <c r="AZ79" s="464" t="str">
        <f>IFERROR(VLOOKUP(AY79,$CI:$CM,3,FALSE),"")</f>
        <v>LAMINA POKER RENOVACION</v>
      </c>
      <c r="BA79" s="465"/>
      <c r="BB79" s="222">
        <f>50+1533+1527+1552</f>
        <v>4662</v>
      </c>
      <c r="BC79" s="245"/>
      <c r="BD79" s="273"/>
      <c r="BK79" s="130"/>
      <c r="BL79" s="130"/>
      <c r="BM79" s="130"/>
      <c r="BN79" s="130"/>
      <c r="BO79" s="130"/>
      <c r="BP79" s="130"/>
      <c r="BQ79" s="130"/>
      <c r="BR79" s="130"/>
      <c r="BS79" s="139"/>
      <c r="BT79" s="130"/>
      <c r="BU79" s="130"/>
      <c r="BV79" s="130"/>
      <c r="BW79" s="130"/>
      <c r="BX79" s="130"/>
      <c r="BY79" s="130"/>
      <c r="BZ79" s="130"/>
      <c r="CA79" s="130"/>
      <c r="CB79" s="130"/>
      <c r="CC79" s="130"/>
      <c r="CD79" s="130"/>
      <c r="CE79" s="130"/>
      <c r="CF79" s="130"/>
      <c r="CG79" s="130"/>
      <c r="CI79" s="60">
        <v>209962</v>
      </c>
      <c r="CJ79" s="60">
        <v>209957</v>
      </c>
      <c r="CK79" s="60" t="s">
        <v>149</v>
      </c>
      <c r="CL79" s="60" t="s">
        <v>178</v>
      </c>
      <c r="CM79" s="60" t="s">
        <v>178</v>
      </c>
      <c r="CN79" s="226">
        <v>0</v>
      </c>
      <c r="CO79" s="226">
        <v>0</v>
      </c>
      <c r="CR79" s="145"/>
    </row>
    <row r="80" spans="1:115" ht="15.75" customHeight="1" x14ac:dyDescent="0.15">
      <c r="B80" s="447" t="s">
        <v>321</v>
      </c>
      <c r="C80" s="448"/>
      <c r="D80" s="448"/>
      <c r="E80" s="448"/>
      <c r="F80" s="448"/>
      <c r="G80" s="449"/>
      <c r="H80" s="447" t="s">
        <v>321</v>
      </c>
      <c r="I80" s="448"/>
      <c r="J80" s="448"/>
      <c r="K80" s="448"/>
      <c r="L80" s="448"/>
      <c r="M80" s="449"/>
      <c r="U80" s="130"/>
      <c r="V80" s="130"/>
      <c r="W80" s="130"/>
      <c r="X80" s="130"/>
      <c r="Y80" s="130"/>
      <c r="Z80" s="130"/>
      <c r="AA80" s="130"/>
      <c r="AN80" s="130"/>
      <c r="AO80" s="130"/>
      <c r="AP80" s="141" t="s">
        <v>322</v>
      </c>
      <c r="AQ80" s="141"/>
      <c r="AR80" s="464" t="str">
        <f>IFERROR(VLOOKUP(AQ80,$CI:$CM,3,FALSE),"")</f>
        <v/>
      </c>
      <c r="AS80" s="465"/>
      <c r="AT80" s="141"/>
      <c r="AU80" s="141"/>
      <c r="AV80" s="464" t="str">
        <f>IFERROR(VLOOKUP(AU80,$CI:$CM,3,FALSE),"")</f>
        <v/>
      </c>
      <c r="AW80" s="465"/>
      <c r="AX80" s="221"/>
      <c r="AY80" s="141">
        <v>212403</v>
      </c>
      <c r="AZ80" s="464" t="str">
        <f>IFERROR(VLOOKUP(AY80,$CI:$CM,3,FALSE),"")</f>
        <v xml:space="preserve">LAMINA COSTEÑA BACANA 2000 TP D 0.195 </v>
      </c>
      <c r="BA80" s="465"/>
      <c r="BB80" s="221">
        <f>1372+1679+1441</f>
        <v>4492</v>
      </c>
      <c r="BC80" s="245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  <c r="BN80" s="130"/>
      <c r="BO80" s="130"/>
      <c r="BP80" s="130"/>
      <c r="BQ80" s="130"/>
      <c r="BR80" s="130"/>
      <c r="BS80" s="130"/>
      <c r="BT80" s="130"/>
      <c r="BU80" s="130"/>
      <c r="BV80" s="143"/>
      <c r="BW80" s="130"/>
      <c r="BX80" s="130"/>
      <c r="BY80" s="130"/>
      <c r="BZ80" s="130"/>
      <c r="CA80" s="130"/>
      <c r="CB80" s="130"/>
      <c r="CC80" s="130"/>
      <c r="CD80" s="130"/>
      <c r="CE80" s="130"/>
      <c r="CF80" s="130"/>
      <c r="CG80" s="130"/>
      <c r="CI80" s="60">
        <v>210128</v>
      </c>
      <c r="CJ80" s="60">
        <v>210125</v>
      </c>
      <c r="CK80" s="60" t="s">
        <v>151</v>
      </c>
      <c r="CL80" s="60" t="s">
        <v>178</v>
      </c>
      <c r="CM80" s="60" t="s">
        <v>178</v>
      </c>
      <c r="CN80" s="226" cm="1">
        <f t="array" ref="CN80:CN84">TRANSPOSE(CP13:CT13)</f>
        <v>210655</v>
      </c>
      <c r="CO80" s="226" cm="1">
        <f t="array" ref="CO80:CO84">TRANSPOSE(CP14:CT14)</f>
        <v>550</v>
      </c>
      <c r="CR80" s="145"/>
    </row>
    <row r="81" spans="1:96" ht="15.75" customHeight="1" x14ac:dyDescent="0.15">
      <c r="B81" s="469">
        <f>+(34*1548)+(32*1548)+(29*1680)</f>
        <v>150888</v>
      </c>
      <c r="C81" s="470"/>
      <c r="D81" s="470"/>
      <c r="E81" s="470"/>
      <c r="F81" s="470"/>
      <c r="G81" s="471"/>
      <c r="H81" s="444">
        <f>B81*1.292</f>
        <v>194947.296</v>
      </c>
      <c r="I81" s="445"/>
      <c r="J81" s="445"/>
      <c r="K81" s="445"/>
      <c r="L81" s="445"/>
      <c r="M81" s="446"/>
      <c r="U81" s="130"/>
      <c r="V81" s="130"/>
      <c r="W81" s="130"/>
      <c r="X81" s="130"/>
      <c r="Y81" s="130"/>
      <c r="Z81" s="130"/>
      <c r="AA81" s="130"/>
      <c r="AN81" s="130"/>
      <c r="AO81" s="130"/>
      <c r="AP81" s="488" t="s">
        <v>323</v>
      </c>
      <c r="AQ81" s="488"/>
      <c r="AR81" s="488"/>
      <c r="AS81" s="488"/>
      <c r="AT81" s="217"/>
      <c r="AU81" s="487" t="s">
        <v>324</v>
      </c>
      <c r="AV81" s="487"/>
      <c r="AW81" s="487"/>
      <c r="AX81" s="487"/>
      <c r="AY81" s="489" t="s">
        <v>325</v>
      </c>
      <c r="AZ81" s="489"/>
      <c r="BA81" s="489"/>
      <c r="BB81" s="489"/>
      <c r="BC81" s="489"/>
      <c r="BD81" s="130"/>
      <c r="BE81" s="130"/>
      <c r="BF81" s="130"/>
      <c r="BG81" s="130"/>
      <c r="BH81" s="130"/>
      <c r="BI81" s="130"/>
      <c r="BJ81" s="130"/>
      <c r="BK81" s="130"/>
      <c r="BL81" s="130"/>
      <c r="BM81" s="130"/>
      <c r="BN81" s="130"/>
      <c r="BO81" s="130"/>
      <c r="BP81" s="130"/>
      <c r="BQ81" s="130"/>
      <c r="BR81" s="130"/>
      <c r="BS81" s="130"/>
      <c r="BT81" s="130"/>
      <c r="BU81" s="130"/>
      <c r="BV81" s="130"/>
      <c r="BW81" s="130"/>
      <c r="BX81" s="130"/>
      <c r="BY81" s="130"/>
      <c r="BZ81" s="130"/>
      <c r="CA81" s="130"/>
      <c r="CB81" s="130"/>
      <c r="CC81" s="130"/>
      <c r="CD81" s="130"/>
      <c r="CE81" s="130"/>
      <c r="CF81" s="130"/>
      <c r="CG81" s="130"/>
      <c r="CI81" s="60">
        <v>213174</v>
      </c>
      <c r="CJ81" s="60">
        <v>213172</v>
      </c>
      <c r="CK81" s="60" t="s">
        <v>153</v>
      </c>
      <c r="CL81" s="60" t="s">
        <v>178</v>
      </c>
      <c r="CM81" s="60" t="s">
        <v>178</v>
      </c>
      <c r="CN81" s="226">
        <v>0</v>
      </c>
      <c r="CO81" s="226">
        <v>0</v>
      </c>
      <c r="CR81" s="145"/>
    </row>
    <row r="82" spans="1:96" ht="15.75" customHeight="1" x14ac:dyDescent="0.15">
      <c r="B82" s="483">
        <f>SUM(B75+B81)-B77-B79</f>
        <v>300892</v>
      </c>
      <c r="C82" s="484"/>
      <c r="D82" s="484"/>
      <c r="E82" s="484"/>
      <c r="F82" s="484"/>
      <c r="G82" s="485"/>
      <c r="H82" s="483">
        <f>B82*1.292</f>
        <v>388752.46400000004</v>
      </c>
      <c r="I82" s="484"/>
      <c r="J82" s="484"/>
      <c r="K82" s="484"/>
      <c r="L82" s="484"/>
      <c r="M82" s="485"/>
      <c r="U82" s="130"/>
      <c r="V82" s="130"/>
      <c r="W82" s="130"/>
      <c r="X82" s="130"/>
      <c r="Y82" s="130"/>
      <c r="Z82" s="130"/>
      <c r="AA82" s="130"/>
      <c r="AN82" s="130"/>
      <c r="AO82" s="130"/>
      <c r="AP82" s="131"/>
      <c r="AQ82" s="132"/>
      <c r="AR82" s="132"/>
      <c r="AS82" s="132"/>
      <c r="AT82" s="132"/>
      <c r="AU82" s="132"/>
      <c r="AV82" s="132"/>
      <c r="AW82" s="132"/>
      <c r="AX82" s="132"/>
      <c r="AY82" s="132"/>
      <c r="AZ82" s="132"/>
      <c r="BA82" s="132"/>
      <c r="BB82" s="132"/>
      <c r="BC82" s="132"/>
      <c r="BD82" s="130"/>
      <c r="BE82" s="130"/>
      <c r="BF82" s="130"/>
      <c r="BG82" s="130"/>
      <c r="BH82" s="130"/>
      <c r="BI82" s="130"/>
      <c r="BJ82" s="130"/>
      <c r="BK82" s="130"/>
      <c r="BL82" s="130"/>
      <c r="BM82" s="130"/>
      <c r="BN82" s="130"/>
      <c r="BO82" s="130"/>
      <c r="BP82" s="130"/>
      <c r="BQ82" s="130"/>
      <c r="BR82" s="130"/>
      <c r="BS82" s="130"/>
      <c r="BT82" s="130"/>
      <c r="BU82" s="130"/>
      <c r="BV82" s="130"/>
      <c r="BW82" s="130"/>
      <c r="BX82" s="130"/>
      <c r="BY82" s="130"/>
      <c r="BZ82" s="130"/>
      <c r="CA82" s="130"/>
      <c r="CB82" s="130"/>
      <c r="CC82" s="130"/>
      <c r="CD82" s="130"/>
      <c r="CE82" s="130"/>
      <c r="CF82" s="130"/>
      <c r="CG82" s="130"/>
      <c r="CI82" s="60">
        <v>213240</v>
      </c>
      <c r="CJ82" s="60">
        <v>213302</v>
      </c>
      <c r="CK82" s="60" t="s">
        <v>154</v>
      </c>
      <c r="CL82" s="60" t="s">
        <v>178</v>
      </c>
      <c r="CM82" s="60" t="s">
        <v>178</v>
      </c>
      <c r="CN82" s="226">
        <v>0</v>
      </c>
      <c r="CO82" s="226">
        <v>0</v>
      </c>
      <c r="CR82" s="145"/>
    </row>
    <row r="83" spans="1:96" ht="15.75" customHeight="1" x14ac:dyDescent="0.15">
      <c r="B83" s="469"/>
      <c r="C83" s="470"/>
      <c r="D83" s="470"/>
      <c r="E83" s="470"/>
      <c r="F83" s="470"/>
      <c r="G83" s="471"/>
      <c r="H83" s="469"/>
      <c r="I83" s="470"/>
      <c r="J83" s="470"/>
      <c r="K83" s="470"/>
      <c r="L83" s="470"/>
      <c r="M83" s="471"/>
      <c r="U83" s="130"/>
      <c r="V83" s="130"/>
      <c r="W83" s="130"/>
      <c r="X83" s="130"/>
      <c r="Y83" s="130"/>
      <c r="Z83" s="130"/>
      <c r="AA83" s="130"/>
      <c r="AN83" s="130"/>
      <c r="AO83" s="130"/>
      <c r="AP83" s="135"/>
      <c r="AQ83" s="136"/>
      <c r="AR83" s="136"/>
      <c r="AS83" s="136"/>
      <c r="AT83" s="136"/>
      <c r="AU83" s="136"/>
      <c r="AV83" s="137"/>
      <c r="AW83" s="136"/>
      <c r="AX83" s="136"/>
      <c r="AY83" s="136"/>
      <c r="AZ83" s="136"/>
      <c r="BA83" s="136"/>
      <c r="BB83" s="136"/>
      <c r="BC83" s="136"/>
      <c r="BD83" s="130"/>
      <c r="BE83" s="130"/>
      <c r="BF83" s="130"/>
      <c r="BG83" s="130"/>
      <c r="BH83" s="130"/>
      <c r="BI83" s="130"/>
      <c r="BJ83" s="130"/>
      <c r="BK83" s="130"/>
      <c r="BL83" s="130"/>
      <c r="BM83" s="130"/>
      <c r="BN83" s="130"/>
      <c r="BO83" s="130"/>
      <c r="BP83" s="130"/>
      <c r="BQ83" s="130"/>
      <c r="BR83" s="130"/>
      <c r="BS83" s="130"/>
      <c r="BT83" s="130"/>
      <c r="BU83" s="130"/>
      <c r="BV83" s="130"/>
      <c r="BW83" s="130"/>
      <c r="BX83" s="130"/>
      <c r="BY83" s="130"/>
      <c r="BZ83" s="130"/>
      <c r="CA83" s="130"/>
      <c r="CB83" s="130"/>
      <c r="CC83" s="130"/>
      <c r="CD83" s="130"/>
      <c r="CE83" s="130"/>
      <c r="CF83" s="130"/>
      <c r="CG83" s="130"/>
      <c r="CI83" s="60">
        <v>213242</v>
      </c>
      <c r="CJ83" s="60">
        <v>213303</v>
      </c>
      <c r="CK83" s="60" t="s">
        <v>156</v>
      </c>
      <c r="CL83" s="60" t="s">
        <v>178</v>
      </c>
      <c r="CM83" s="60" t="s">
        <v>178</v>
      </c>
      <c r="CN83" s="226">
        <v>213677</v>
      </c>
      <c r="CO83" s="226">
        <v>16662</v>
      </c>
      <c r="CR83" s="145"/>
    </row>
    <row r="84" spans="1:96" ht="15.75" customHeight="1" x14ac:dyDescent="0.15">
      <c r="B84" s="447" t="s">
        <v>326</v>
      </c>
      <c r="C84" s="448"/>
      <c r="D84" s="448"/>
      <c r="E84" s="448"/>
      <c r="F84" s="448"/>
      <c r="G84" s="449"/>
      <c r="H84" s="447" t="s">
        <v>326</v>
      </c>
      <c r="I84" s="448"/>
      <c r="J84" s="448"/>
      <c r="K84" s="448"/>
      <c r="L84" s="448"/>
      <c r="M84" s="449"/>
      <c r="U84" s="130"/>
      <c r="V84" s="130"/>
      <c r="W84" s="130"/>
      <c r="X84" s="130"/>
      <c r="Y84" s="130"/>
      <c r="Z84" s="130"/>
      <c r="AA84" s="130"/>
      <c r="AN84" s="130"/>
      <c r="AO84" s="130"/>
      <c r="AP84" s="130"/>
      <c r="AQ84" s="130"/>
      <c r="AR84" s="130"/>
      <c r="AS84" s="130"/>
      <c r="AT84" s="130"/>
      <c r="AU84" s="130"/>
      <c r="AW84" s="130"/>
      <c r="AX84" s="130"/>
      <c r="AY84" s="130"/>
      <c r="AZ84" s="130"/>
      <c r="BA84" s="130"/>
      <c r="BB84" s="130"/>
      <c r="BC84" s="130"/>
      <c r="BD84" s="130"/>
      <c r="BE84" s="130"/>
      <c r="BF84" s="130"/>
      <c r="BG84" s="130"/>
      <c r="BH84" s="130"/>
      <c r="BI84" s="130"/>
      <c r="BJ84" s="130"/>
      <c r="BK84" s="130"/>
      <c r="BL84" s="130"/>
      <c r="BM84" s="130"/>
      <c r="BN84" s="130"/>
      <c r="BO84" s="130"/>
      <c r="BP84" s="130"/>
      <c r="BQ84" s="130"/>
      <c r="BR84" s="130"/>
      <c r="BS84" s="130"/>
      <c r="BT84" s="130"/>
      <c r="BU84" s="130"/>
      <c r="BV84" s="130"/>
      <c r="BW84" s="130"/>
      <c r="BX84" s="130"/>
      <c r="BY84" s="130"/>
      <c r="BZ84" s="130"/>
      <c r="CA84" s="130"/>
      <c r="CB84" s="130"/>
      <c r="CC84" s="130"/>
      <c r="CD84" s="130"/>
      <c r="CE84" s="130"/>
      <c r="CF84" s="130"/>
      <c r="CG84" s="130"/>
      <c r="CI84" s="60">
        <v>213245</v>
      </c>
      <c r="CJ84" s="60">
        <v>213304</v>
      </c>
      <c r="CK84" s="60" t="s">
        <v>157</v>
      </c>
      <c r="CL84" s="60" t="s">
        <v>178</v>
      </c>
      <c r="CM84" s="60" t="s">
        <v>178</v>
      </c>
      <c r="CN84" s="226">
        <v>0</v>
      </c>
      <c r="CO84" s="226">
        <v>0</v>
      </c>
    </row>
    <row r="85" spans="1:96" ht="15.75" customHeight="1" x14ac:dyDescent="0.15">
      <c r="B85" s="469">
        <v>0</v>
      </c>
      <c r="C85" s="470"/>
      <c r="D85" s="470"/>
      <c r="E85" s="470"/>
      <c r="F85" s="470"/>
      <c r="G85" s="471"/>
      <c r="H85" s="469">
        <f>B85*1.014</f>
        <v>0</v>
      </c>
      <c r="I85" s="470"/>
      <c r="J85" s="470"/>
      <c r="K85" s="470"/>
      <c r="L85" s="470"/>
      <c r="M85" s="471"/>
      <c r="U85" s="130"/>
      <c r="V85" s="130"/>
      <c r="W85" s="130"/>
      <c r="X85" s="130"/>
      <c r="Y85" s="130"/>
      <c r="Z85" s="130"/>
      <c r="AA85" s="144"/>
      <c r="AN85" s="130"/>
      <c r="AO85" s="130"/>
      <c r="AP85" s="130"/>
      <c r="AQ85" s="130"/>
      <c r="AR85" s="130"/>
      <c r="AS85" s="130"/>
      <c r="AT85" s="130"/>
      <c r="AU85" s="130"/>
      <c r="AW85" s="130"/>
      <c r="AX85" s="130"/>
      <c r="AY85" s="130"/>
      <c r="AZ85" s="130"/>
      <c r="BA85" s="130"/>
      <c r="BB85" s="130"/>
      <c r="BC85" s="130"/>
      <c r="BQ85" s="130"/>
      <c r="BR85" s="130"/>
      <c r="BS85" s="130"/>
      <c r="BT85" s="130"/>
      <c r="BU85" s="130"/>
      <c r="BV85" s="130"/>
      <c r="BW85" s="130"/>
      <c r="BX85" s="130"/>
      <c r="BY85" s="130"/>
      <c r="BZ85" s="130"/>
      <c r="CA85" s="130"/>
      <c r="CB85" s="130"/>
      <c r="CC85" s="130"/>
      <c r="CD85" s="130"/>
      <c r="CE85" s="130"/>
      <c r="CF85" s="130"/>
      <c r="CG85" s="130"/>
      <c r="CI85" s="60">
        <v>213241</v>
      </c>
      <c r="CJ85" s="60">
        <v>213303</v>
      </c>
      <c r="CK85" s="60" t="s">
        <v>158</v>
      </c>
      <c r="CL85" s="60">
        <v>210655</v>
      </c>
      <c r="CM85" s="60" t="str">
        <f t="shared" ref="CM85:CM93" si="52">VLOOKUP(CL85,$CI$2:$CK$20,3,0)</f>
        <v>LAMINA GEN LACADA SIZING TIPO D 0,195</v>
      </c>
      <c r="CN85" s="226" cm="1">
        <f t="array" ref="CN85:CN89">TRANSPOSE(CP16:CT16)</f>
        <v>0</v>
      </c>
      <c r="CO85" s="226" cm="1">
        <f t="array" ref="CO85:CO89">TRANSPOSE(CP17:CT17)</f>
        <v>0</v>
      </c>
      <c r="CP85" s="145"/>
    </row>
    <row r="86" spans="1:96" ht="15.75" customHeight="1" x14ac:dyDescent="0.15">
      <c r="B86" s="447" t="s">
        <v>314</v>
      </c>
      <c r="C86" s="448"/>
      <c r="D86" s="448"/>
      <c r="E86" s="448"/>
      <c r="F86" s="448"/>
      <c r="G86" s="449"/>
      <c r="H86" s="447" t="s">
        <v>314</v>
      </c>
      <c r="I86" s="448"/>
      <c r="J86" s="448"/>
      <c r="K86" s="448"/>
      <c r="L86" s="448"/>
      <c r="M86" s="449"/>
      <c r="U86" s="130"/>
      <c r="V86" s="130"/>
      <c r="W86" s="130"/>
      <c r="X86" s="130"/>
      <c r="Y86" s="130"/>
      <c r="Z86" s="130"/>
      <c r="AA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  <c r="AX86" s="130"/>
      <c r="AY86" s="130"/>
      <c r="AZ86" s="130"/>
      <c r="BA86" s="130"/>
      <c r="BB86" s="130"/>
      <c r="BC86" s="130"/>
      <c r="BQ86" s="130"/>
      <c r="BR86" s="130"/>
      <c r="BS86" s="130"/>
      <c r="BT86" s="130"/>
      <c r="BU86" s="130"/>
      <c r="BV86" s="130"/>
      <c r="BW86" s="130"/>
      <c r="BX86" s="130"/>
      <c r="BY86" s="130"/>
      <c r="BZ86" s="130"/>
      <c r="CA86" s="130"/>
      <c r="CB86" s="130"/>
      <c r="CC86" s="130"/>
      <c r="CD86" s="130"/>
      <c r="CE86" s="130"/>
      <c r="CF86" s="130"/>
      <c r="CG86" s="130"/>
      <c r="CI86" s="60">
        <v>213802</v>
      </c>
      <c r="CJ86" s="60">
        <v>213801</v>
      </c>
      <c r="CK86" s="60" t="s">
        <v>160</v>
      </c>
      <c r="CL86" s="60">
        <v>211749</v>
      </c>
      <c r="CM86" s="60" t="str">
        <f t="shared" si="52"/>
        <v>LAM BASE BLANCA LACA OXY TIPO 0.195</v>
      </c>
      <c r="CN86" s="226">
        <v>0</v>
      </c>
      <c r="CO86" s="226">
        <v>0</v>
      </c>
      <c r="CP86" s="145"/>
    </row>
    <row r="87" spans="1:96" ht="15.75" customHeight="1" x14ac:dyDescent="0.15">
      <c r="B87" s="469"/>
      <c r="C87" s="470"/>
      <c r="D87" s="470"/>
      <c r="E87" s="470"/>
      <c r="F87" s="470"/>
      <c r="G87" s="471"/>
      <c r="H87" s="469">
        <f>B87*1.014</f>
        <v>0</v>
      </c>
      <c r="I87" s="470"/>
      <c r="J87" s="470"/>
      <c r="K87" s="470"/>
      <c r="L87" s="470"/>
      <c r="M87" s="471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  <c r="AO87" s="130"/>
      <c r="AU87" s="130"/>
      <c r="AV87" s="130"/>
      <c r="AW87" s="130"/>
      <c r="AX87" s="130"/>
      <c r="AY87" s="130"/>
      <c r="AZ87" s="130"/>
      <c r="BA87" s="130"/>
      <c r="BB87" s="130"/>
      <c r="BQ87" s="130"/>
      <c r="BR87" s="130"/>
      <c r="BS87" s="130"/>
      <c r="BT87" s="130"/>
      <c r="BU87" s="130"/>
      <c r="BV87" s="130"/>
      <c r="BW87" s="130"/>
      <c r="BX87" s="130"/>
      <c r="BY87" s="130"/>
      <c r="BZ87" s="130"/>
      <c r="CA87" s="130"/>
      <c r="CB87" s="130"/>
      <c r="CC87" s="130"/>
      <c r="CD87" s="130"/>
      <c r="CE87" s="130"/>
      <c r="CF87" s="130"/>
      <c r="CG87" s="130"/>
      <c r="CI87" s="60">
        <v>213868</v>
      </c>
      <c r="CJ87" s="60">
        <v>213867</v>
      </c>
      <c r="CK87" s="60" t="s">
        <v>162</v>
      </c>
      <c r="CL87" s="60">
        <v>210655</v>
      </c>
      <c r="CM87" s="60" t="str">
        <f t="shared" si="52"/>
        <v>LAMINA GEN LACADA SIZING TIPO D 0,195</v>
      </c>
      <c r="CN87" s="226">
        <v>0</v>
      </c>
      <c r="CO87" s="226">
        <v>0</v>
      </c>
      <c r="CP87" s="145"/>
    </row>
    <row r="88" spans="1:96" ht="15.75" customHeight="1" x14ac:dyDescent="0.15">
      <c r="B88" s="447" t="s">
        <v>318</v>
      </c>
      <c r="C88" s="448"/>
      <c r="D88" s="448"/>
      <c r="E88" s="448"/>
      <c r="F88" s="448"/>
      <c r="G88" s="449"/>
      <c r="H88" s="447" t="s">
        <v>318</v>
      </c>
      <c r="I88" s="448"/>
      <c r="J88" s="448"/>
      <c r="K88" s="448"/>
      <c r="L88" s="448"/>
      <c r="M88" s="449"/>
      <c r="U88" s="130"/>
      <c r="V88" s="130"/>
      <c r="W88" s="130"/>
      <c r="AU88" s="130"/>
      <c r="AV88" s="130"/>
      <c r="AW88" s="130"/>
      <c r="AX88" s="130"/>
      <c r="AY88" s="130"/>
      <c r="AZ88" s="130"/>
      <c r="BA88" s="130"/>
      <c r="BB88" s="130"/>
      <c r="CI88" s="60">
        <v>213869</v>
      </c>
      <c r="CJ88" s="60">
        <v>213867</v>
      </c>
      <c r="CK88" s="60" t="s">
        <v>163</v>
      </c>
      <c r="CL88" s="60">
        <v>210655</v>
      </c>
      <c r="CM88" s="60" t="str">
        <f t="shared" si="52"/>
        <v>LAMINA GEN LACADA SIZING TIPO D 0,195</v>
      </c>
      <c r="CN88" s="226">
        <v>0</v>
      </c>
      <c r="CO88" s="226">
        <v>0</v>
      </c>
      <c r="CP88" s="145"/>
    </row>
    <row r="89" spans="1:96" ht="15.75" customHeight="1" x14ac:dyDescent="0.15">
      <c r="B89" s="469">
        <v>0</v>
      </c>
      <c r="C89" s="470"/>
      <c r="D89" s="470"/>
      <c r="E89" s="470"/>
      <c r="F89" s="470"/>
      <c r="G89" s="471"/>
      <c r="H89" s="469">
        <f>B89*1.014</f>
        <v>0</v>
      </c>
      <c r="I89" s="470"/>
      <c r="J89" s="470"/>
      <c r="K89" s="470"/>
      <c r="L89" s="470"/>
      <c r="M89" s="471"/>
      <c r="AU89" s="130"/>
      <c r="AV89" s="130"/>
      <c r="AW89" s="130"/>
      <c r="AX89" s="130"/>
      <c r="AY89" s="130"/>
      <c r="AZ89" s="130"/>
      <c r="BA89" s="130"/>
      <c r="BB89" s="130"/>
      <c r="CI89" s="238">
        <v>213885</v>
      </c>
      <c r="CJ89" s="238">
        <v>213883</v>
      </c>
      <c r="CK89" s="238" t="s">
        <v>165</v>
      </c>
      <c r="CL89" s="238">
        <v>213677</v>
      </c>
      <c r="CM89" s="60" t="str">
        <f t="shared" si="52"/>
        <v>LAMINA LACADA SIZING PROM TIPO D 0.195</v>
      </c>
      <c r="CN89" s="226">
        <v>212037</v>
      </c>
      <c r="CO89" s="226">
        <v>725</v>
      </c>
      <c r="CP89" s="145"/>
    </row>
    <row r="90" spans="1:96" ht="14.25" customHeight="1" x14ac:dyDescent="0.15">
      <c r="B90" s="447" t="s">
        <v>321</v>
      </c>
      <c r="C90" s="448"/>
      <c r="D90" s="448"/>
      <c r="E90" s="448"/>
      <c r="F90" s="448"/>
      <c r="G90" s="449"/>
      <c r="H90" s="474" t="s">
        <v>321</v>
      </c>
      <c r="I90" s="475"/>
      <c r="J90" s="475"/>
      <c r="K90" s="475"/>
      <c r="L90" s="475"/>
      <c r="M90" s="476"/>
      <c r="AU90" s="130"/>
      <c r="AV90" s="130"/>
      <c r="AW90" s="130"/>
      <c r="AX90" s="130"/>
      <c r="AY90" s="130"/>
      <c r="AZ90" s="130"/>
      <c r="BA90" s="130"/>
      <c r="BB90" s="130"/>
      <c r="CI90" s="238">
        <v>213886</v>
      </c>
      <c r="CJ90" s="238">
        <v>213883</v>
      </c>
      <c r="CK90" s="238" t="s">
        <v>166</v>
      </c>
      <c r="CL90" s="238">
        <v>213677</v>
      </c>
      <c r="CM90" s="60" t="str">
        <f t="shared" si="52"/>
        <v>LAMINA LACADA SIZING PROM TIPO D 0.195</v>
      </c>
      <c r="CN90" s="226" cm="1">
        <f t="array" ref="CN90:CN98">TRANSPOSE(CP19:CX19)</f>
        <v>0</v>
      </c>
      <c r="CO90" s="226" cm="1">
        <f t="array" ref="CO90:CO98">TRANSPOSE(CP20:CX20)</f>
        <v>0</v>
      </c>
      <c r="CP90" s="145"/>
    </row>
    <row r="91" spans="1:96" ht="15.75" customHeight="1" x14ac:dyDescent="0.15">
      <c r="B91" s="469">
        <f>+(275*1690)</f>
        <v>464750</v>
      </c>
      <c r="C91" s="470"/>
      <c r="D91" s="470"/>
      <c r="E91" s="470"/>
      <c r="F91" s="470"/>
      <c r="G91" s="471"/>
      <c r="H91" s="469">
        <f>B91*1.014</f>
        <v>471256.5</v>
      </c>
      <c r="I91" s="470"/>
      <c r="J91" s="470"/>
      <c r="K91" s="470"/>
      <c r="L91" s="470"/>
      <c r="M91" s="471"/>
      <c r="AU91" s="130"/>
      <c r="AV91" s="130"/>
      <c r="AW91" s="130"/>
      <c r="AX91" s="130"/>
      <c r="AY91" s="130"/>
      <c r="AZ91" s="130"/>
      <c r="BA91" s="130"/>
      <c r="BB91" s="130"/>
      <c r="CI91" s="238">
        <v>211208</v>
      </c>
      <c r="CJ91" s="238">
        <v>202904</v>
      </c>
      <c r="CK91" s="238" t="s">
        <v>168</v>
      </c>
      <c r="CL91" s="238">
        <v>210654</v>
      </c>
      <c r="CM91" s="60" t="str">
        <f t="shared" si="52"/>
        <v>LAMINA GEN LACADA TIPO D 0,195</v>
      </c>
      <c r="CN91" s="226">
        <v>0</v>
      </c>
      <c r="CO91" s="226">
        <v>0</v>
      </c>
      <c r="CP91" s="145"/>
    </row>
    <row r="92" spans="1:96" ht="15.75" customHeight="1" x14ac:dyDescent="0.15">
      <c r="B92" s="477">
        <f>+(B85+B91)-B87-B89</f>
        <v>464750</v>
      </c>
      <c r="C92" s="478"/>
      <c r="D92" s="478"/>
      <c r="E92" s="478"/>
      <c r="F92" s="478"/>
      <c r="G92" s="479"/>
      <c r="H92" s="480">
        <f>B92*1.014</f>
        <v>471256.5</v>
      </c>
      <c r="I92" s="481"/>
      <c r="J92" s="481"/>
      <c r="K92" s="481"/>
      <c r="L92" s="481"/>
      <c r="M92" s="482"/>
      <c r="AU92" s="130"/>
      <c r="AV92" s="130"/>
      <c r="AW92" s="130"/>
      <c r="AX92" s="130"/>
      <c r="AY92" s="130"/>
      <c r="AZ92" s="130"/>
      <c r="BA92" s="130"/>
      <c r="BB92" s="130"/>
      <c r="CI92" s="238">
        <v>213995</v>
      </c>
      <c r="CJ92" s="238">
        <v>213994</v>
      </c>
      <c r="CK92" s="238" t="s">
        <v>136</v>
      </c>
      <c r="CL92" s="238">
        <v>213677</v>
      </c>
      <c r="CM92" s="349" t="str">
        <f t="shared" si="52"/>
        <v>LAMINA LACADA SIZING PROM TIPO D 0.195</v>
      </c>
      <c r="CN92" s="226">
        <v>0</v>
      </c>
      <c r="CO92" s="226">
        <v>0</v>
      </c>
      <c r="CP92" s="145"/>
    </row>
    <row r="93" spans="1:96" ht="15.75" customHeight="1" x14ac:dyDescent="0.15">
      <c r="AU93" s="130"/>
      <c r="AV93" s="130"/>
      <c r="AW93" s="130"/>
      <c r="AX93" s="130"/>
      <c r="AY93" s="130"/>
      <c r="AZ93" s="130"/>
      <c r="BA93" s="130"/>
      <c r="BB93" s="130"/>
      <c r="CI93" s="238">
        <v>213996</v>
      </c>
      <c r="CJ93" s="238">
        <v>213994</v>
      </c>
      <c r="CK93" s="238" t="s">
        <v>139</v>
      </c>
      <c r="CL93" s="238">
        <v>213677</v>
      </c>
      <c r="CM93" s="349" t="str">
        <f t="shared" si="52"/>
        <v>LAMINA LACADA SIZING PROM TIPO D 0.195</v>
      </c>
      <c r="CN93" s="226">
        <v>211209</v>
      </c>
      <c r="CO93" s="226">
        <v>218</v>
      </c>
      <c r="CP93" s="145"/>
    </row>
    <row r="94" spans="1:96" ht="15.75" customHeight="1" x14ac:dyDescent="0.15">
      <c r="E94" s="148"/>
      <c r="F94" s="146"/>
      <c r="G94" s="146"/>
      <c r="H94" s="146"/>
      <c r="I94" s="146"/>
      <c r="J94" s="146"/>
      <c r="K94" s="146"/>
      <c r="L94" s="146"/>
      <c r="AU94" s="130"/>
      <c r="AV94" s="130"/>
      <c r="AW94" s="130"/>
      <c r="AX94" s="130"/>
      <c r="AY94" s="130"/>
      <c r="AZ94" s="130"/>
      <c r="BA94" s="130"/>
      <c r="BB94" s="130"/>
      <c r="CN94" s="226">
        <v>206454</v>
      </c>
      <c r="CO94" s="226">
        <v>452</v>
      </c>
      <c r="CP94" s="145"/>
    </row>
    <row r="95" spans="1:96" ht="15.75" customHeight="1" x14ac:dyDescent="0.15">
      <c r="A95" s="486" t="s">
        <v>327</v>
      </c>
      <c r="B95" s="486"/>
      <c r="C95" s="486"/>
      <c r="D95" s="486"/>
      <c r="E95" s="146"/>
      <c r="F95" s="146"/>
      <c r="G95" s="146"/>
      <c r="H95" s="146"/>
      <c r="I95" s="146"/>
      <c r="J95" s="146"/>
      <c r="K95" s="146"/>
      <c r="L95" s="146"/>
      <c r="AU95" s="130"/>
      <c r="AV95" s="130"/>
      <c r="AW95" s="130"/>
      <c r="AX95" s="130"/>
      <c r="AY95" s="130"/>
      <c r="AZ95" s="130"/>
      <c r="BA95" s="130"/>
      <c r="BB95" s="130"/>
      <c r="CN95" s="226">
        <v>206453</v>
      </c>
      <c r="CO95" s="226">
        <v>1176</v>
      </c>
      <c r="CP95" s="145"/>
    </row>
    <row r="96" spans="1:96" ht="15.75" customHeight="1" x14ac:dyDescent="0.15">
      <c r="A96" s="134"/>
      <c r="B96" s="146"/>
      <c r="C96" s="472"/>
      <c r="D96" s="473"/>
      <c r="E96" s="146"/>
      <c r="F96" s="146"/>
      <c r="G96" s="146"/>
      <c r="H96" s="146"/>
      <c r="I96" s="146"/>
      <c r="J96" s="146"/>
      <c r="K96" s="146"/>
      <c r="L96" s="146"/>
      <c r="AU96" s="130"/>
      <c r="AV96" s="130"/>
      <c r="AW96" s="130"/>
      <c r="AX96" s="130"/>
      <c r="AY96" s="130"/>
      <c r="AZ96" s="130"/>
      <c r="BA96" s="130"/>
      <c r="BB96" s="130"/>
      <c r="CN96" s="226">
        <v>207544</v>
      </c>
      <c r="CO96" s="226">
        <v>4207</v>
      </c>
      <c r="CP96" s="145"/>
    </row>
    <row r="97" spans="1:94" ht="15.75" customHeight="1" x14ac:dyDescent="0.15">
      <c r="A97" s="237">
        <v>1</v>
      </c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AU97" s="130"/>
      <c r="AV97" s="130"/>
      <c r="AW97" s="130"/>
      <c r="AX97" s="130"/>
      <c r="AY97" s="130"/>
      <c r="AZ97" s="130"/>
      <c r="BA97" s="130"/>
      <c r="BB97" s="130"/>
      <c r="CN97" s="226">
        <v>206455</v>
      </c>
      <c r="CO97" s="226">
        <v>6127</v>
      </c>
      <c r="CP97" s="145"/>
    </row>
    <row r="98" spans="1:94" ht="15.75" customHeight="1" x14ac:dyDescent="0.15">
      <c r="A98" s="237">
        <v>2</v>
      </c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Z98" s="146"/>
      <c r="AU98" s="130"/>
      <c r="AV98" s="130"/>
      <c r="AW98" s="130"/>
      <c r="AX98" s="130"/>
      <c r="AY98" s="130"/>
      <c r="AZ98" s="130"/>
      <c r="BA98" s="130"/>
      <c r="BB98" s="130"/>
      <c r="CN98" s="226">
        <v>210654</v>
      </c>
      <c r="CO98" s="226">
        <v>9553</v>
      </c>
      <c r="CP98" s="145"/>
    </row>
    <row r="99" spans="1:94" ht="15.75" customHeight="1" x14ac:dyDescent="0.15">
      <c r="A99" s="237">
        <v>3</v>
      </c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Z99" s="146"/>
      <c r="AU99" s="130"/>
      <c r="AV99" s="130"/>
      <c r="AW99" s="130"/>
      <c r="AX99" s="130"/>
      <c r="AY99" s="130"/>
      <c r="AZ99" s="130"/>
      <c r="BA99" s="130"/>
      <c r="BB99" s="130"/>
      <c r="CN99" s="227">
        <f>BW47</f>
        <v>210655</v>
      </c>
      <c r="CO99" s="228">
        <f>BZ47</f>
        <v>1700</v>
      </c>
      <c r="CP99" s="145"/>
    </row>
    <row r="100" spans="1:94" ht="15.75" customHeight="1" x14ac:dyDescent="0.15">
      <c r="A100" s="237">
        <v>4</v>
      </c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Z100" s="146"/>
      <c r="AU100" s="130"/>
      <c r="AV100" s="130"/>
      <c r="AW100" s="130"/>
      <c r="AX100" s="130"/>
      <c r="AY100" s="130"/>
      <c r="AZ100" s="130"/>
      <c r="BA100" s="130"/>
      <c r="BB100" s="130"/>
      <c r="CN100" s="227">
        <f t="shared" ref="CN100:CN107" si="53">BW48</f>
        <v>212403</v>
      </c>
      <c r="CO100" s="228">
        <f t="shared" ref="CO100:CO107" si="54">BZ48</f>
        <v>313</v>
      </c>
      <c r="CP100" s="145"/>
    </row>
    <row r="101" spans="1:94" ht="15.75" customHeight="1" x14ac:dyDescent="0.15">
      <c r="A101" s="237">
        <v>5</v>
      </c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Z101" s="146"/>
      <c r="AU101" s="130"/>
      <c r="AV101" s="130"/>
      <c r="AW101" s="130"/>
      <c r="AX101" s="130"/>
      <c r="AY101" s="130"/>
      <c r="AZ101" s="130"/>
      <c r="BA101" s="130"/>
      <c r="BB101" s="130"/>
      <c r="CN101" s="227">
        <f t="shared" si="53"/>
        <v>212127</v>
      </c>
      <c r="CO101" s="228">
        <f t="shared" si="54"/>
        <v>887</v>
      </c>
      <c r="CP101" s="145"/>
    </row>
    <row r="102" spans="1:94" ht="15.75" customHeight="1" x14ac:dyDescent="0.15">
      <c r="A102" s="237">
        <v>6</v>
      </c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AU102" s="130"/>
      <c r="AV102" s="130"/>
      <c r="AW102" s="130"/>
      <c r="AX102" s="130"/>
      <c r="AY102" s="130"/>
      <c r="AZ102" s="130"/>
      <c r="BA102" s="130"/>
      <c r="BB102" s="130"/>
      <c r="CN102" s="227">
        <f t="shared" si="53"/>
        <v>212127</v>
      </c>
      <c r="CO102" s="228">
        <f t="shared" si="54"/>
        <v>1216</v>
      </c>
    </row>
    <row r="103" spans="1:94" ht="15.75" customHeight="1" x14ac:dyDescent="0.15">
      <c r="A103" s="237">
        <v>7</v>
      </c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AU103" s="130"/>
      <c r="AV103" s="130"/>
      <c r="AW103" s="130"/>
      <c r="AX103" s="130"/>
      <c r="AY103" s="130"/>
      <c r="AZ103" s="130"/>
      <c r="BA103" s="130"/>
      <c r="BB103" s="130"/>
      <c r="CN103" s="227">
        <f t="shared" si="53"/>
        <v>213637</v>
      </c>
      <c r="CO103" s="228">
        <f t="shared" si="54"/>
        <v>733</v>
      </c>
    </row>
    <row r="104" spans="1:94" ht="15.75" customHeight="1" x14ac:dyDescent="0.15">
      <c r="A104" s="237">
        <v>8</v>
      </c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AU104" s="130"/>
      <c r="AV104" s="130"/>
      <c r="AW104" s="130"/>
      <c r="AX104" s="130"/>
      <c r="AY104" s="130"/>
      <c r="AZ104" s="130"/>
      <c r="BA104" s="130"/>
      <c r="CN104" s="227">
        <f t="shared" si="53"/>
        <v>210655</v>
      </c>
      <c r="CO104" s="228">
        <f t="shared" si="54"/>
        <v>540</v>
      </c>
    </row>
    <row r="105" spans="1:94" ht="15.75" customHeight="1" x14ac:dyDescent="0.15">
      <c r="A105" s="237">
        <v>9</v>
      </c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AU105" s="130"/>
      <c r="AV105" s="130"/>
      <c r="AW105" s="130"/>
      <c r="AX105" s="130"/>
      <c r="AY105" s="130"/>
      <c r="AZ105" s="130"/>
      <c r="BA105" s="130"/>
      <c r="CN105" s="227">
        <f t="shared" si="53"/>
        <v>213637</v>
      </c>
      <c r="CO105" s="228">
        <f t="shared" si="54"/>
        <v>1181</v>
      </c>
    </row>
    <row r="106" spans="1:94" ht="15.75" customHeight="1" x14ac:dyDescent="0.15">
      <c r="A106" s="237">
        <v>10</v>
      </c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AU106" s="130"/>
      <c r="AV106" s="130"/>
      <c r="AW106" s="130"/>
      <c r="AX106" s="130"/>
      <c r="AY106" s="130"/>
      <c r="AZ106" s="130"/>
      <c r="BA106" s="130"/>
      <c r="CN106" s="227">
        <f t="shared" si="53"/>
        <v>213637</v>
      </c>
      <c r="CO106" s="228">
        <f t="shared" si="54"/>
        <v>690</v>
      </c>
    </row>
    <row r="107" spans="1:94" ht="15.75" customHeight="1" x14ac:dyDescent="0.15">
      <c r="A107" s="237">
        <v>11</v>
      </c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AU107" s="130"/>
      <c r="AV107" s="130"/>
      <c r="AW107" s="130"/>
      <c r="AX107" s="130"/>
      <c r="AY107" s="130"/>
      <c r="AZ107" s="130"/>
      <c r="BA107" s="130"/>
      <c r="CN107" s="227">
        <f t="shared" si="53"/>
        <v>213738</v>
      </c>
      <c r="CO107" s="228">
        <f t="shared" si="54"/>
        <v>1460</v>
      </c>
    </row>
    <row r="108" spans="1:94" ht="15.75" customHeight="1" x14ac:dyDescent="0.15">
      <c r="A108" s="237">
        <v>12</v>
      </c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CN108" s="229" cm="1">
        <f t="array" ref="CN108:CN127">TRANSPOSE(CP22:DI22)</f>
        <v>0</v>
      </c>
      <c r="CO108" s="229" cm="1">
        <f t="array" ref="CO108:CO127">TRANSPOSE(CP23:DI23)</f>
        <v>0</v>
      </c>
    </row>
    <row r="109" spans="1:94" ht="15.75" customHeight="1" x14ac:dyDescent="0.15">
      <c r="A109" s="237">
        <v>13</v>
      </c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CN109" s="229">
        <v>0</v>
      </c>
      <c r="CO109" s="229">
        <v>0</v>
      </c>
    </row>
    <row r="110" spans="1:94" ht="15.75" customHeight="1" x14ac:dyDescent="0.15">
      <c r="A110" s="237">
        <v>14</v>
      </c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CN110" s="229">
        <v>0</v>
      </c>
      <c r="CO110" s="229">
        <v>0</v>
      </c>
    </row>
    <row r="111" spans="1:94" ht="15.75" customHeight="1" x14ac:dyDescent="0.15">
      <c r="A111" s="237">
        <v>15</v>
      </c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CN111" s="229">
        <v>0</v>
      </c>
      <c r="CO111" s="229">
        <v>0</v>
      </c>
    </row>
    <row r="112" spans="1:94" ht="15.75" customHeight="1" x14ac:dyDescent="0.15">
      <c r="A112" s="149">
        <v>16</v>
      </c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CN112" s="229">
        <v>0</v>
      </c>
      <c r="CO112" s="229">
        <v>0</v>
      </c>
    </row>
    <row r="113" spans="1:93" ht="15.75" customHeight="1" x14ac:dyDescent="0.15">
      <c r="A113" s="149">
        <v>17</v>
      </c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CN113" s="229">
        <v>212127</v>
      </c>
      <c r="CO113" s="229">
        <v>290</v>
      </c>
    </row>
    <row r="114" spans="1:93" ht="15.75" customHeight="1" x14ac:dyDescent="0.15">
      <c r="A114" s="149">
        <v>18</v>
      </c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CN114" s="229">
        <v>0</v>
      </c>
      <c r="CO114" s="229">
        <v>0</v>
      </c>
    </row>
    <row r="115" spans="1:93" ht="15.75" customHeight="1" x14ac:dyDescent="0.15">
      <c r="A115" s="149">
        <v>19</v>
      </c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CN115" s="229">
        <v>213996</v>
      </c>
      <c r="CO115" s="229">
        <v>3060</v>
      </c>
    </row>
    <row r="116" spans="1:93" ht="15.75" customHeight="1" x14ac:dyDescent="0.15">
      <c r="A116" s="149">
        <v>20</v>
      </c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CN116" s="229">
        <v>213637</v>
      </c>
      <c r="CO116" s="229">
        <v>15780</v>
      </c>
    </row>
    <row r="117" spans="1:93" ht="15.75" customHeight="1" x14ac:dyDescent="0.15">
      <c r="A117" s="149">
        <v>21</v>
      </c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CN117" s="229">
        <v>0</v>
      </c>
      <c r="CO117" s="229">
        <v>0</v>
      </c>
    </row>
    <row r="118" spans="1:93" ht="15.75" customHeight="1" x14ac:dyDescent="0.15">
      <c r="A118" s="149">
        <v>22</v>
      </c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CN118" s="229">
        <v>211208</v>
      </c>
      <c r="CO118" s="229">
        <v>15323</v>
      </c>
    </row>
    <row r="119" spans="1:93" ht="15.75" customHeight="1" x14ac:dyDescent="0.15">
      <c r="A119" s="149">
        <v>23</v>
      </c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CN119" s="229">
        <v>213738</v>
      </c>
      <c r="CO119" s="229">
        <v>4004</v>
      </c>
    </row>
    <row r="120" spans="1:93" ht="15.75" customHeight="1" x14ac:dyDescent="0.15">
      <c r="A120" s="149">
        <v>24</v>
      </c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CN120" s="229">
        <v>0</v>
      </c>
      <c r="CO120" s="229">
        <v>0</v>
      </c>
    </row>
    <row r="121" spans="1:93" ht="15.75" customHeight="1" x14ac:dyDescent="0.15"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CN121" s="229">
        <v>0</v>
      </c>
      <c r="CO121" s="229">
        <v>0</v>
      </c>
    </row>
    <row r="122" spans="1:93" ht="15.75" customHeight="1" x14ac:dyDescent="0.15"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CN122" s="229">
        <v>0</v>
      </c>
      <c r="CO122" s="229">
        <v>0</v>
      </c>
    </row>
    <row r="123" spans="1:93" ht="15.75" customHeight="1" x14ac:dyDescent="0.15"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CN123" s="229">
        <v>211209</v>
      </c>
      <c r="CO123" s="229">
        <v>1174</v>
      </c>
    </row>
    <row r="124" spans="1:93" ht="15.75" customHeight="1" x14ac:dyDescent="0.15"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CN124" s="229">
        <v>212787</v>
      </c>
      <c r="CO124" s="229">
        <v>1629</v>
      </c>
    </row>
    <row r="125" spans="1:93" ht="15.75" customHeight="1" x14ac:dyDescent="0.15"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CN125" s="229">
        <v>212315</v>
      </c>
      <c r="CO125" s="229">
        <v>16582</v>
      </c>
    </row>
    <row r="126" spans="1:93" ht="15.75" customHeight="1" x14ac:dyDescent="0.15"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CN126" s="229">
        <v>0</v>
      </c>
      <c r="CO126" s="229">
        <v>0</v>
      </c>
    </row>
    <row r="127" spans="1:93" ht="15.75" customHeight="1" x14ac:dyDescent="0.15"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CN127" s="229">
        <v>212403</v>
      </c>
      <c r="CO127" s="229">
        <v>1692</v>
      </c>
    </row>
    <row r="128" spans="1:93" ht="15.75" customHeight="1" x14ac:dyDescent="0.15"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CN128" s="230">
        <f>AX47</f>
        <v>206890</v>
      </c>
      <c r="CO128" s="230">
        <f>AZ47</f>
        <v>1692</v>
      </c>
    </row>
    <row r="129" spans="2:93" ht="15.75" customHeight="1" x14ac:dyDescent="0.15"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CN129" s="230">
        <f t="shared" ref="CN129:CN140" si="55">AX48</f>
        <v>210128</v>
      </c>
      <c r="CO129" s="230">
        <f t="shared" ref="CO129:CO140" si="56">AZ48</f>
        <v>1630</v>
      </c>
    </row>
    <row r="130" spans="2:93" ht="15.75" customHeight="1" x14ac:dyDescent="0.15"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CN130" s="230">
        <f t="shared" si="55"/>
        <v>209962</v>
      </c>
      <c r="CO130" s="230">
        <f t="shared" si="56"/>
        <v>500</v>
      </c>
    </row>
    <row r="131" spans="2:93" ht="15.75" customHeight="1" x14ac:dyDescent="0.15"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CN131" s="230">
        <f t="shared" si="55"/>
        <v>204388</v>
      </c>
      <c r="CO131" s="230">
        <f t="shared" si="56"/>
        <v>43</v>
      </c>
    </row>
    <row r="132" spans="2:93" ht="15.75" customHeight="1" x14ac:dyDescent="0.15"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CN132" s="230">
        <f t="shared" si="55"/>
        <v>202737</v>
      </c>
      <c r="CO132" s="230">
        <f t="shared" si="56"/>
        <v>2854</v>
      </c>
    </row>
    <row r="133" spans="2:93" ht="15.75" customHeight="1" x14ac:dyDescent="0.15"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CN133" s="230">
        <f t="shared" si="55"/>
        <v>210761</v>
      </c>
      <c r="CO133" s="230">
        <f t="shared" si="56"/>
        <v>886</v>
      </c>
    </row>
    <row r="134" spans="2:93" ht="15.75" customHeight="1" x14ac:dyDescent="0.15"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CN134" s="230">
        <f t="shared" si="55"/>
        <v>213364</v>
      </c>
      <c r="CO134" s="230">
        <f t="shared" si="56"/>
        <v>1404</v>
      </c>
    </row>
    <row r="135" spans="2:93" ht="15.75" customHeight="1" x14ac:dyDescent="0.15"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CN135" s="230">
        <f t="shared" si="55"/>
        <v>213246</v>
      </c>
      <c r="CO135" s="230">
        <f t="shared" si="56"/>
        <v>1468</v>
      </c>
    </row>
    <row r="136" spans="2:93" ht="15.75" customHeight="1" x14ac:dyDescent="0.15"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CN136" s="230">
        <f t="shared" si="55"/>
        <v>211217</v>
      </c>
      <c r="CO136" s="230">
        <f t="shared" si="56"/>
        <v>1728</v>
      </c>
    </row>
    <row r="137" spans="2:93" ht="15.75" customHeight="1" x14ac:dyDescent="0.15"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CN137" s="230">
        <f t="shared" si="55"/>
        <v>208477</v>
      </c>
      <c r="CO137" s="230">
        <f t="shared" si="56"/>
        <v>1977</v>
      </c>
    </row>
    <row r="138" spans="2:93" ht="15.75" customHeight="1" x14ac:dyDescent="0.15"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CN138" s="230">
        <f t="shared" si="55"/>
        <v>212019</v>
      </c>
      <c r="CO138" s="230">
        <f t="shared" si="56"/>
        <v>1349</v>
      </c>
    </row>
    <row r="139" spans="2:93" ht="15.75" customHeight="1" x14ac:dyDescent="0.15"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CN139" s="230">
        <f t="shared" si="55"/>
        <v>213352</v>
      </c>
      <c r="CO139" s="230">
        <f t="shared" si="56"/>
        <v>1519</v>
      </c>
    </row>
    <row r="140" spans="2:93" ht="15.75" customHeight="1" x14ac:dyDescent="0.15"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CN140" s="230">
        <f t="shared" si="55"/>
        <v>213343</v>
      </c>
      <c r="CO140" s="230">
        <f t="shared" si="56"/>
        <v>629</v>
      </c>
    </row>
    <row r="141" spans="2:93" ht="15.75" customHeight="1" x14ac:dyDescent="0.15"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CN141" s="229" cm="1">
        <f t="array" ref="CN141:CN144">TRANSPOSE(CP25:CS25)</f>
        <v>0</v>
      </c>
      <c r="CO141" s="229" cm="1">
        <f t="array" ref="CO141:CO144">TRANSPOSE(CP26:CS26)</f>
        <v>0</v>
      </c>
    </row>
    <row r="142" spans="2:93" ht="15.75" customHeight="1" x14ac:dyDescent="0.15"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CN142" s="229">
        <v>0</v>
      </c>
      <c r="CO142" s="229">
        <v>0</v>
      </c>
    </row>
    <row r="143" spans="2:93" ht="15.75" customHeight="1" x14ac:dyDescent="0.15"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CN143" s="229">
        <v>207301</v>
      </c>
      <c r="CO143" s="229">
        <v>7348</v>
      </c>
    </row>
    <row r="144" spans="2:93" ht="15.75" customHeight="1" x14ac:dyDescent="0.15"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CN144" s="229">
        <v>212604</v>
      </c>
      <c r="CO144" s="229">
        <v>2413</v>
      </c>
    </row>
    <row r="145" spans="2:93" ht="15.75" customHeight="1" x14ac:dyDescent="0.15"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CN145" s="229" cm="1">
        <f t="array" ref="CN145:CN173">TRANSPOSE(CP28:DR28)</f>
        <v>206458</v>
      </c>
      <c r="CO145" s="229" cm="1">
        <f t="array" ref="CO145:CO173">TRANSPOSE(CP29:DR29)</f>
        <v>4693</v>
      </c>
    </row>
    <row r="146" spans="2:93" ht="15.75" customHeight="1" x14ac:dyDescent="0.15"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CN146" s="229">
        <v>210760</v>
      </c>
      <c r="CO146" s="229">
        <v>4760</v>
      </c>
    </row>
    <row r="147" spans="2:93" ht="15.75" customHeight="1" x14ac:dyDescent="0.15"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CN147" s="229">
        <v>213637</v>
      </c>
      <c r="CO147" s="229">
        <v>1037</v>
      </c>
    </row>
    <row r="148" spans="2:93" ht="15.75" customHeight="1" x14ac:dyDescent="0.15"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CN148" s="229">
        <v>213367</v>
      </c>
      <c r="CO148" s="229">
        <v>520</v>
      </c>
    </row>
    <row r="149" spans="2:93" ht="15.75" customHeight="1" x14ac:dyDescent="0.15"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CN149" s="229">
        <v>0</v>
      </c>
      <c r="CO149" s="229">
        <v>0</v>
      </c>
    </row>
    <row r="150" spans="2:93" ht="15.75" customHeight="1" x14ac:dyDescent="0.15"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CN150" s="229">
        <v>0</v>
      </c>
      <c r="CO150" s="229">
        <v>0</v>
      </c>
    </row>
    <row r="151" spans="2:93" ht="15.75" customHeight="1" x14ac:dyDescent="0.15"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CN151" s="229">
        <v>0</v>
      </c>
      <c r="CO151" s="229">
        <v>0</v>
      </c>
    </row>
    <row r="152" spans="2:93" ht="15.75" customHeight="1" x14ac:dyDescent="0.15"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CN152" s="229">
        <v>0</v>
      </c>
      <c r="CO152" s="229">
        <v>0</v>
      </c>
    </row>
    <row r="153" spans="2:93" ht="15.75" customHeight="1" x14ac:dyDescent="0.15"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CN153" s="229">
        <v>0</v>
      </c>
      <c r="CO153" s="229">
        <v>0</v>
      </c>
    </row>
    <row r="154" spans="2:93" ht="15.75" customHeight="1" x14ac:dyDescent="0.15">
      <c r="CN154" s="229">
        <v>0</v>
      </c>
      <c r="CO154" s="229">
        <v>0</v>
      </c>
    </row>
    <row r="155" spans="2:93" ht="15.75" customHeight="1" x14ac:dyDescent="0.15">
      <c r="CN155" s="229">
        <v>0</v>
      </c>
      <c r="CO155" s="229">
        <v>0</v>
      </c>
    </row>
    <row r="156" spans="2:93" ht="15.75" customHeight="1" x14ac:dyDescent="0.15">
      <c r="CN156" s="229">
        <v>0</v>
      </c>
      <c r="CO156" s="229">
        <v>0</v>
      </c>
    </row>
    <row r="157" spans="2:93" ht="15.75" customHeight="1" x14ac:dyDescent="0.15">
      <c r="CN157" s="229">
        <v>0</v>
      </c>
      <c r="CO157" s="229">
        <v>0</v>
      </c>
    </row>
    <row r="158" spans="2:93" ht="15.75" customHeight="1" x14ac:dyDescent="0.15">
      <c r="CN158" s="229">
        <v>0</v>
      </c>
      <c r="CO158" s="229">
        <v>0</v>
      </c>
    </row>
    <row r="159" spans="2:93" ht="15.75" customHeight="1" x14ac:dyDescent="0.15">
      <c r="CN159" s="229">
        <v>211209</v>
      </c>
      <c r="CO159" s="229">
        <v>1887</v>
      </c>
    </row>
    <row r="160" spans="2:93" ht="15.75" customHeight="1" x14ac:dyDescent="0.15">
      <c r="CN160" s="229">
        <v>0</v>
      </c>
      <c r="CO160" s="229">
        <v>0</v>
      </c>
    </row>
    <row r="161" spans="92:93" ht="15.75" customHeight="1" x14ac:dyDescent="0.15">
      <c r="CN161" s="229">
        <v>0</v>
      </c>
      <c r="CO161" s="229">
        <v>0</v>
      </c>
    </row>
    <row r="162" spans="92:93" ht="15.75" customHeight="1" x14ac:dyDescent="0.15">
      <c r="CN162" s="229">
        <v>0</v>
      </c>
      <c r="CO162" s="229">
        <v>0</v>
      </c>
    </row>
    <row r="163" spans="92:93" ht="15.75" customHeight="1" x14ac:dyDescent="0.15">
      <c r="CN163" s="229">
        <v>0</v>
      </c>
      <c r="CO163" s="229">
        <v>0</v>
      </c>
    </row>
    <row r="164" spans="92:93" ht="15.75" customHeight="1" x14ac:dyDescent="0.15">
      <c r="CN164" s="229">
        <v>0</v>
      </c>
      <c r="CO164" s="229">
        <v>0</v>
      </c>
    </row>
    <row r="165" spans="92:93" ht="15.75" customHeight="1" x14ac:dyDescent="0.15">
      <c r="CN165" s="229">
        <v>0</v>
      </c>
      <c r="CO165" s="229">
        <v>0</v>
      </c>
    </row>
    <row r="166" spans="92:93" ht="15.75" customHeight="1" x14ac:dyDescent="0.15">
      <c r="CN166" s="229">
        <v>0</v>
      </c>
      <c r="CO166" s="229">
        <v>0</v>
      </c>
    </row>
    <row r="167" spans="92:93" ht="15.75" customHeight="1" x14ac:dyDescent="0.15">
      <c r="CN167" s="229">
        <v>0</v>
      </c>
      <c r="CO167" s="229">
        <v>0</v>
      </c>
    </row>
    <row r="168" spans="92:93" ht="15.75" customHeight="1" x14ac:dyDescent="0.15">
      <c r="CN168" s="229">
        <v>0</v>
      </c>
      <c r="CO168" s="229">
        <v>0</v>
      </c>
    </row>
    <row r="169" spans="92:93" ht="15.75" customHeight="1" x14ac:dyDescent="0.15">
      <c r="CN169" s="229">
        <v>0</v>
      </c>
      <c r="CO169" s="229">
        <v>0</v>
      </c>
    </row>
    <row r="170" spans="92:93" ht="15.75" customHeight="1" x14ac:dyDescent="0.15">
      <c r="CN170" s="229">
        <v>0</v>
      </c>
      <c r="CO170" s="229">
        <v>0</v>
      </c>
    </row>
    <row r="171" spans="92:93" ht="15.75" customHeight="1" x14ac:dyDescent="0.15">
      <c r="CN171" s="229">
        <v>0</v>
      </c>
      <c r="CO171" s="229">
        <v>0</v>
      </c>
    </row>
    <row r="172" spans="92:93" ht="15.75" customHeight="1" x14ac:dyDescent="0.15">
      <c r="CN172" s="229">
        <v>0</v>
      </c>
      <c r="CO172" s="229">
        <v>0</v>
      </c>
    </row>
    <row r="173" spans="92:93" ht="15.75" customHeight="1" x14ac:dyDescent="0.15">
      <c r="CN173" s="229">
        <v>0</v>
      </c>
      <c r="CO173" s="229">
        <v>0</v>
      </c>
    </row>
    <row r="174" spans="92:93" ht="15.75" customHeight="1" x14ac:dyDescent="0.15">
      <c r="CN174" s="231">
        <f>AQ77</f>
        <v>0</v>
      </c>
      <c r="CO174" s="231">
        <f>AS77</f>
        <v>0</v>
      </c>
    </row>
    <row r="175" spans="92:93" ht="15.75" customHeight="1" x14ac:dyDescent="0.15">
      <c r="CN175" s="231">
        <f t="shared" ref="CN175:CN177" si="57">AQ78</f>
        <v>0</v>
      </c>
      <c r="CO175" s="231">
        <f t="shared" ref="CO175:CO177" si="58">AS78</f>
        <v>0</v>
      </c>
    </row>
    <row r="176" spans="92:93" ht="15.75" customHeight="1" x14ac:dyDescent="0.15">
      <c r="CN176" s="231">
        <f t="shared" si="57"/>
        <v>0</v>
      </c>
      <c r="CO176" s="231">
        <f t="shared" si="58"/>
        <v>0</v>
      </c>
    </row>
    <row r="177" spans="92:93" ht="15.75" customHeight="1" x14ac:dyDescent="0.15">
      <c r="CN177" s="231">
        <f t="shared" si="57"/>
        <v>0</v>
      </c>
      <c r="CO177" s="231">
        <f t="shared" si="58"/>
        <v>0</v>
      </c>
    </row>
    <row r="178" spans="92:93" ht="15.75" customHeight="1" x14ac:dyDescent="0.15">
      <c r="CN178" s="231">
        <f>AU77</f>
        <v>0</v>
      </c>
      <c r="CO178" s="231">
        <f>AW77</f>
        <v>0</v>
      </c>
    </row>
    <row r="179" spans="92:93" ht="15.75" customHeight="1" x14ac:dyDescent="0.15">
      <c r="CN179" s="231">
        <f t="shared" ref="CN179:CN181" si="59">AU78</f>
        <v>0</v>
      </c>
      <c r="CO179" s="231">
        <f t="shared" ref="CO179:CO181" si="60">AW78</f>
        <v>0</v>
      </c>
    </row>
    <row r="180" spans="92:93" ht="15.75" customHeight="1" x14ac:dyDescent="0.15">
      <c r="CN180" s="231">
        <f t="shared" si="59"/>
        <v>0</v>
      </c>
      <c r="CO180" s="231">
        <f t="shared" si="60"/>
        <v>0</v>
      </c>
    </row>
    <row r="181" spans="92:93" ht="15.75" customHeight="1" x14ac:dyDescent="0.15">
      <c r="CN181" s="231">
        <f t="shared" si="59"/>
        <v>0</v>
      </c>
      <c r="CO181" s="231">
        <f t="shared" si="60"/>
        <v>0</v>
      </c>
    </row>
    <row r="182" spans="92:93" ht="15.75" customHeight="1" x14ac:dyDescent="0.15">
      <c r="CN182" s="231">
        <f>AY77</f>
        <v>213996</v>
      </c>
      <c r="CO182" s="231">
        <f>BB77</f>
        <v>5542</v>
      </c>
    </row>
    <row r="183" spans="92:93" ht="15.75" customHeight="1" x14ac:dyDescent="0.15">
      <c r="CN183" s="231">
        <f t="shared" ref="CN183:CN185" si="61">AY78</f>
        <v>213637</v>
      </c>
      <c r="CO183" s="231">
        <f t="shared" ref="CO183:CO185" si="62">BB78</f>
        <v>5065</v>
      </c>
    </row>
    <row r="184" spans="92:93" ht="15.75" customHeight="1" x14ac:dyDescent="0.15">
      <c r="CN184" s="231">
        <f t="shared" si="61"/>
        <v>213738</v>
      </c>
      <c r="CO184" s="231">
        <f t="shared" si="62"/>
        <v>4662</v>
      </c>
    </row>
    <row r="185" spans="92:93" ht="15.75" customHeight="1" x14ac:dyDescent="0.15">
      <c r="CN185" s="231">
        <f t="shared" si="61"/>
        <v>212403</v>
      </c>
      <c r="CO185" s="231">
        <f t="shared" si="62"/>
        <v>4492</v>
      </c>
    </row>
    <row r="186" spans="92:93" ht="15.75" customHeight="1" x14ac:dyDescent="0.15"/>
    <row r="187" spans="92:93" ht="15.75" customHeight="1" x14ac:dyDescent="0.15"/>
    <row r="188" spans="92:93" ht="15.75" customHeight="1" x14ac:dyDescent="0.15"/>
    <row r="189" spans="92:93" ht="15.75" customHeight="1" x14ac:dyDescent="0.15"/>
    <row r="190" spans="92:93" ht="15.75" customHeight="1" x14ac:dyDescent="0.15"/>
    <row r="191" spans="92:93" ht="15.75" customHeight="1" x14ac:dyDescent="0.15"/>
    <row r="192" spans="92:93" ht="15.75" customHeight="1" x14ac:dyDescent="0.15"/>
    <row r="193" spans="69:69" ht="15.75" customHeight="1" x14ac:dyDescent="0.15"/>
    <row r="194" spans="69:69" ht="15.75" customHeight="1" x14ac:dyDescent="0.15"/>
    <row r="195" spans="69:69" ht="15.75" customHeight="1" x14ac:dyDescent="0.15"/>
    <row r="196" spans="69:69" ht="15.75" customHeight="1" x14ac:dyDescent="0.15"/>
    <row r="197" spans="69:69" ht="15.75" customHeight="1" x14ac:dyDescent="0.15"/>
    <row r="198" spans="69:69" ht="15.75" customHeight="1" x14ac:dyDescent="0.15"/>
    <row r="199" spans="69:69" ht="15.75" customHeight="1" x14ac:dyDescent="0.15"/>
    <row r="200" spans="69:69" ht="15.75" customHeight="1" x14ac:dyDescent="0.15"/>
    <row r="201" spans="69:69" ht="15.75" customHeight="1" x14ac:dyDescent="0.15"/>
    <row r="202" spans="69:69" ht="15.75" customHeight="1" x14ac:dyDescent="0.15"/>
    <row r="203" spans="69:69" ht="15.75" customHeight="1" x14ac:dyDescent="0.15">
      <c r="BQ203" s="147"/>
    </row>
    <row r="204" spans="69:69" ht="15.75" customHeight="1" x14ac:dyDescent="0.15"/>
    <row r="205" spans="69:69" ht="15.75" customHeight="1" x14ac:dyDescent="0.15"/>
    <row r="206" spans="69:69" ht="15.75" customHeight="1" x14ac:dyDescent="0.15"/>
    <row r="207" spans="69:69" ht="15.75" customHeight="1" x14ac:dyDescent="0.15"/>
    <row r="208" spans="69:69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</sheetData>
  <mergeCells count="208">
    <mergeCell ref="CR62:CZ62"/>
    <mergeCell ref="CR63:CZ63"/>
    <mergeCell ref="CR64:CZ64"/>
    <mergeCell ref="CR65:CZ65"/>
    <mergeCell ref="CR66:CZ66"/>
    <mergeCell ref="CR36:CU36"/>
    <mergeCell ref="BQ11:BR11"/>
    <mergeCell ref="BQ10:BR10"/>
    <mergeCell ref="BQ19:BR19"/>
    <mergeCell ref="CG24:CG39"/>
    <mergeCell ref="CB37:CC56"/>
    <mergeCell ref="CG40:CG53"/>
    <mergeCell ref="CG54:CG69"/>
    <mergeCell ref="CR38:CU38"/>
    <mergeCell ref="CR39:CU39"/>
    <mergeCell ref="CR40:CU40"/>
    <mergeCell ref="CR41:CU41"/>
    <mergeCell ref="CR42:CU42"/>
    <mergeCell ref="CR43:CU43"/>
    <mergeCell ref="CR44:CU44"/>
    <mergeCell ref="CR54:CU54"/>
    <mergeCell ref="CR55:CU55"/>
    <mergeCell ref="CR56:CU56"/>
    <mergeCell ref="CR57:CU57"/>
    <mergeCell ref="B62:C62"/>
    <mergeCell ref="H62:K62"/>
    <mergeCell ref="M62:P62"/>
    <mergeCell ref="H77:M77"/>
    <mergeCell ref="H74:M74"/>
    <mergeCell ref="B78:G78"/>
    <mergeCell ref="H78:M78"/>
    <mergeCell ref="B63:C63"/>
    <mergeCell ref="H63:K63"/>
    <mergeCell ref="M63:P63"/>
    <mergeCell ref="M65:P65"/>
    <mergeCell ref="B66:C66"/>
    <mergeCell ref="B67:C67"/>
    <mergeCell ref="M66:P67"/>
    <mergeCell ref="I67:K67"/>
    <mergeCell ref="B75:G75"/>
    <mergeCell ref="B73:G73"/>
    <mergeCell ref="H73:M73"/>
    <mergeCell ref="B74:G74"/>
    <mergeCell ref="AR80:AS80"/>
    <mergeCell ref="AV80:AW80"/>
    <mergeCell ref="AZ80:BA80"/>
    <mergeCell ref="B80:G80"/>
    <mergeCell ref="H80:M80"/>
    <mergeCell ref="AU81:AX81"/>
    <mergeCell ref="AP81:AS81"/>
    <mergeCell ref="AY81:BC81"/>
    <mergeCell ref="B81:G81"/>
    <mergeCell ref="H81:M81"/>
    <mergeCell ref="B82:G82"/>
    <mergeCell ref="H82:M82"/>
    <mergeCell ref="B89:G89"/>
    <mergeCell ref="H89:M89"/>
    <mergeCell ref="B84:G84"/>
    <mergeCell ref="H84:M84"/>
    <mergeCell ref="B85:G85"/>
    <mergeCell ref="H85:M85"/>
    <mergeCell ref="A95:D95"/>
    <mergeCell ref="B86:G86"/>
    <mergeCell ref="H83:M83"/>
    <mergeCell ref="C96:D96"/>
    <mergeCell ref="B87:G87"/>
    <mergeCell ref="H87:M87"/>
    <mergeCell ref="B88:G88"/>
    <mergeCell ref="H88:M88"/>
    <mergeCell ref="B83:G83"/>
    <mergeCell ref="B90:G90"/>
    <mergeCell ref="H90:M90"/>
    <mergeCell ref="B91:G91"/>
    <mergeCell ref="H91:M91"/>
    <mergeCell ref="B92:G92"/>
    <mergeCell ref="H92:M92"/>
    <mergeCell ref="H86:M86"/>
    <mergeCell ref="AV76:AW76"/>
    <mergeCell ref="AZ76:BA76"/>
    <mergeCell ref="H76:M76"/>
    <mergeCell ref="B77:G77"/>
    <mergeCell ref="AR77:AS77"/>
    <mergeCell ref="AR79:AS79"/>
    <mergeCell ref="AZ79:BA79"/>
    <mergeCell ref="AV79:AW79"/>
    <mergeCell ref="R78:U78"/>
    <mergeCell ref="R79:U79"/>
    <mergeCell ref="R77:S77"/>
    <mergeCell ref="T77:U77"/>
    <mergeCell ref="AV77:AW77"/>
    <mergeCell ref="AZ77:BA77"/>
    <mergeCell ref="AR78:AS78"/>
    <mergeCell ref="AV78:AW78"/>
    <mergeCell ref="AZ78:BA78"/>
    <mergeCell ref="B79:G79"/>
    <mergeCell ref="H79:M79"/>
    <mergeCell ref="AR76:AS76"/>
    <mergeCell ref="B60:C60"/>
    <mergeCell ref="J60:K60"/>
    <mergeCell ref="H75:M75"/>
    <mergeCell ref="B76:G76"/>
    <mergeCell ref="AP75:BB75"/>
    <mergeCell ref="W60:X60"/>
    <mergeCell ref="Y60:Z60"/>
    <mergeCell ref="R63:U63"/>
    <mergeCell ref="W63:Z63"/>
    <mergeCell ref="H65:K65"/>
    <mergeCell ref="R70:U70"/>
    <mergeCell ref="R73:U74"/>
    <mergeCell ref="R75:S75"/>
    <mergeCell ref="T75:U75"/>
    <mergeCell ref="R76:S76"/>
    <mergeCell ref="T76:U76"/>
    <mergeCell ref="B61:C61"/>
    <mergeCell ref="H61:I61"/>
    <mergeCell ref="J61:K61"/>
    <mergeCell ref="H60:I60"/>
    <mergeCell ref="O61:P61"/>
    <mergeCell ref="M61:N61"/>
    <mergeCell ref="R65:U65"/>
    <mergeCell ref="R66:S66"/>
    <mergeCell ref="A6:C7"/>
    <mergeCell ref="D6:O7"/>
    <mergeCell ref="P6:V7"/>
    <mergeCell ref="S15:S17"/>
    <mergeCell ref="CG9:CG23"/>
    <mergeCell ref="CB10:CC20"/>
    <mergeCell ref="I12:P12"/>
    <mergeCell ref="I15:P15"/>
    <mergeCell ref="A4:C5"/>
    <mergeCell ref="W22:W24"/>
    <mergeCell ref="X22:X24"/>
    <mergeCell ref="Y22:Y24"/>
    <mergeCell ref="AA22:AA24"/>
    <mergeCell ref="AA15:AA17"/>
    <mergeCell ref="R15:R17"/>
    <mergeCell ref="BH5:BQ7"/>
    <mergeCell ref="BR5:BY7"/>
    <mergeCell ref="W4:AC7"/>
    <mergeCell ref="AI4:AP4"/>
    <mergeCell ref="AQ4:AT4"/>
    <mergeCell ref="AI5:AL7"/>
    <mergeCell ref="AM5:AP7"/>
    <mergeCell ref="AQ5:AT7"/>
    <mergeCell ref="AU5:BG7"/>
    <mergeCell ref="R62:U62"/>
    <mergeCell ref="W62:Z62"/>
    <mergeCell ref="AQ31:AT31"/>
    <mergeCell ref="W57:Z58"/>
    <mergeCell ref="R59:S59"/>
    <mergeCell ref="R57:U58"/>
    <mergeCell ref="R61:S61"/>
    <mergeCell ref="T61:U61"/>
    <mergeCell ref="BZ5:CG7"/>
    <mergeCell ref="AE1:AH7"/>
    <mergeCell ref="R12:V13"/>
    <mergeCell ref="W12:AA13"/>
    <mergeCell ref="W19:AA20"/>
    <mergeCell ref="R19:V20"/>
    <mergeCell ref="V15:V17"/>
    <mergeCell ref="W15:W17"/>
    <mergeCell ref="X15:X17"/>
    <mergeCell ref="Y15:Y17"/>
    <mergeCell ref="T15:T17"/>
    <mergeCell ref="R22:R24"/>
    <mergeCell ref="S22:S24"/>
    <mergeCell ref="R67:S67"/>
    <mergeCell ref="T66:U66"/>
    <mergeCell ref="T67:U67"/>
    <mergeCell ref="R60:S60"/>
    <mergeCell ref="T60:U60"/>
    <mergeCell ref="AJ32:AN32"/>
    <mergeCell ref="AP32:AS32"/>
    <mergeCell ref="B59:C59"/>
    <mergeCell ref="H59:I59"/>
    <mergeCell ref="J59:K59"/>
    <mergeCell ref="B57:C57"/>
    <mergeCell ref="H57:K58"/>
    <mergeCell ref="B58:C58"/>
    <mergeCell ref="M59:N59"/>
    <mergeCell ref="O59:P59"/>
    <mergeCell ref="M57:P58"/>
    <mergeCell ref="L37:L39"/>
    <mergeCell ref="M60:N60"/>
    <mergeCell ref="O60:P60"/>
    <mergeCell ref="W61:X61"/>
    <mergeCell ref="Y61:Z61"/>
    <mergeCell ref="T59:U59"/>
    <mergeCell ref="W59:X59"/>
    <mergeCell ref="Y59:Z59"/>
    <mergeCell ref="I29:L31"/>
    <mergeCell ref="D4:J5"/>
    <mergeCell ref="K4:R5"/>
    <mergeCell ref="S4:V5"/>
    <mergeCell ref="T22:T24"/>
    <mergeCell ref="V22:V24"/>
    <mergeCell ref="CR37:CU37"/>
    <mergeCell ref="CR58:CU58"/>
    <mergeCell ref="CR59:CU59"/>
    <mergeCell ref="CR45:CU45"/>
    <mergeCell ref="CR46:CU46"/>
    <mergeCell ref="CR47:CU47"/>
    <mergeCell ref="CR48:CU48"/>
    <mergeCell ref="CR49:CU49"/>
    <mergeCell ref="CR50:CU50"/>
    <mergeCell ref="CR51:CU51"/>
    <mergeCell ref="CR52:CU52"/>
    <mergeCell ref="CR53:CU53"/>
  </mergeCells>
  <conditionalFormatting sqref="A97:A111">
    <cfRule type="colorScale" priority="60">
      <colorScale>
        <cfvo type="min"/>
        <cfvo type="percentile" val="50"/>
        <cfvo type="max"/>
        <color rgb="FFFF0000"/>
        <color rgb="FFFFFF00"/>
        <color rgb="FF63BE7B"/>
      </colorScale>
    </cfRule>
  </conditionalFormatting>
  <conditionalFormatting sqref="D66">
    <cfRule type="cellIs" dxfId="67" priority="30" operator="equal">
      <formula>$B$82</formula>
    </cfRule>
    <cfRule type="cellIs" dxfId="66" priority="29" operator="notEqual">
      <formula>$B$82</formula>
    </cfRule>
  </conditionalFormatting>
  <conditionalFormatting sqref="H66">
    <cfRule type="cellIs" dxfId="65" priority="39" operator="greaterThan">
      <formula>0</formula>
    </cfRule>
    <cfRule type="cellIs" dxfId="64" priority="38" operator="lessThan">
      <formula>0</formula>
    </cfRule>
    <cfRule type="cellIs" dxfId="63" priority="37" operator="equal">
      <formula>0</formula>
    </cfRule>
  </conditionalFormatting>
  <conditionalFormatting sqref="H62:K62">
    <cfRule type="cellIs" dxfId="62" priority="25" operator="lessThan">
      <formula>25%</formula>
    </cfRule>
    <cfRule type="cellIs" dxfId="61" priority="23" operator="between">
      <formula>25%</formula>
      <formula>85%</formula>
    </cfRule>
    <cfRule type="cellIs" dxfId="60" priority="24" operator="greaterThan">
      <formula>85%</formula>
    </cfRule>
  </conditionalFormatting>
  <conditionalFormatting sqref="M62:P62">
    <cfRule type="colorScale" priority="36">
      <colorScale>
        <cfvo type="min"/>
        <cfvo type="percentile" val="50"/>
        <cfvo type="max"/>
        <color rgb="FFFF0000"/>
        <color rgb="FFFFFF00"/>
        <color rgb="FF63BE7B"/>
      </colorScale>
    </cfRule>
  </conditionalFormatting>
  <conditionalFormatting sqref="M66:P67">
    <cfRule type="cellIs" dxfId="59" priority="35" operator="greaterThan">
      <formula>10</formula>
    </cfRule>
    <cfRule type="cellIs" dxfId="58" priority="34" operator="lessThan">
      <formula>10</formula>
    </cfRule>
  </conditionalFormatting>
  <conditionalFormatting sqref="R62:U62 W62:Z62">
    <cfRule type="colorScale" priority="48">
      <colorScale>
        <cfvo type="min"/>
        <cfvo type="percentile" val="50"/>
        <cfvo type="max"/>
        <color rgb="FFFF0000"/>
        <color rgb="FFFFFF00"/>
        <color rgb="FF63BE7B"/>
      </colorScale>
    </cfRule>
  </conditionalFormatting>
  <conditionalFormatting sqref="R78:U78">
    <cfRule type="cellIs" dxfId="57" priority="20" operator="between">
      <formula>25%</formula>
      <formula>85%</formula>
    </cfRule>
    <cfRule type="cellIs" dxfId="56" priority="21" operator="greaterThan">
      <formula>85%</formula>
    </cfRule>
    <cfRule type="cellIs" dxfId="55" priority="22" operator="lessThan">
      <formula>25%</formula>
    </cfRule>
  </conditionalFormatting>
  <conditionalFormatting sqref="AI15:BC15">
    <cfRule type="expression" dxfId="54" priority="33">
      <formula>AI17="JINTAI"</formula>
    </cfRule>
    <cfRule type="expression" dxfId="53" priority="32">
      <formula>AI17="STEEL FORCE"</formula>
    </cfRule>
    <cfRule type="expression" dxfId="52" priority="31">
      <formula>AI17="SUXUN"</formula>
    </cfRule>
  </conditionalFormatting>
  <conditionalFormatting sqref="AI21:BC21">
    <cfRule type="expression" dxfId="51" priority="113">
      <formula>AI23="SUXUN"</formula>
    </cfRule>
    <cfRule type="expression" dxfId="50" priority="114">
      <formula>AI23="STEEL FORCE"</formula>
    </cfRule>
    <cfRule type="expression" dxfId="49" priority="115">
      <formula>AI23="JINTAI"</formula>
    </cfRule>
  </conditionalFormatting>
  <conditionalFormatting sqref="AS55:AV55">
    <cfRule type="expression" dxfId="48" priority="89">
      <formula>AS57="SUXUN"</formula>
    </cfRule>
    <cfRule type="expression" dxfId="47" priority="90">
      <formula>AS57="STEEL FORCE"</formula>
    </cfRule>
    <cfRule type="expression" dxfId="46" priority="91">
      <formula>AS57="JINTAI"</formula>
    </cfRule>
  </conditionalFormatting>
  <conditionalFormatting sqref="AS61:AV61">
    <cfRule type="expression" dxfId="45" priority="65">
      <formula>AS63="SUXUN"</formula>
    </cfRule>
    <cfRule type="expression" dxfId="44" priority="66">
      <formula>AS63="STEEL FORCE"</formula>
    </cfRule>
    <cfRule type="expression" dxfId="43" priority="67">
      <formula>AS63="JINTAI"</formula>
    </cfRule>
  </conditionalFormatting>
  <conditionalFormatting sqref="BC55:BE55">
    <cfRule type="expression" dxfId="42" priority="28">
      <formula>BC57="JINTAI"</formula>
    </cfRule>
    <cfRule type="expression" dxfId="41" priority="27">
      <formula>BC57="STEEL FORCE"</formula>
    </cfRule>
    <cfRule type="expression" dxfId="40" priority="26">
      <formula>BC57="SUXUN"</formula>
    </cfRule>
  </conditionalFormatting>
  <conditionalFormatting sqref="BC61:BE61">
    <cfRule type="expression" dxfId="39" priority="94">
      <formula>BC63="JINTAI"</formula>
    </cfRule>
    <cfRule type="expression" dxfId="38" priority="92">
      <formula>BC63="SUXUN"</formula>
    </cfRule>
    <cfRule type="expression" dxfId="37" priority="93">
      <formula>BC63="STEEL FORCE"</formula>
    </cfRule>
  </conditionalFormatting>
  <conditionalFormatting sqref="BE15:BG15">
    <cfRule type="expression" dxfId="36" priority="86">
      <formula>BE17="SUXUN"</formula>
    </cfRule>
    <cfRule type="expression" dxfId="35" priority="87">
      <formula>BE17="STEEL FORCE"</formula>
    </cfRule>
    <cfRule type="expression" dxfId="34" priority="88">
      <formula>BE17="JINTAI"</formula>
    </cfRule>
  </conditionalFormatting>
  <conditionalFormatting sqref="BE21:BG21">
    <cfRule type="expression" dxfId="33" priority="83">
      <formula>BE23="SUXUN"</formula>
    </cfRule>
    <cfRule type="expression" dxfId="32" priority="84">
      <formula>BE23="STEEL FORCE"</formula>
    </cfRule>
    <cfRule type="expression" dxfId="31" priority="85">
      <formula>BE23="JINTAI"</formula>
    </cfRule>
  </conditionalFormatting>
  <conditionalFormatting sqref="BG55:BM55">
    <cfRule type="expression" dxfId="30" priority="80">
      <formula>BG57="SUXUN"</formula>
    </cfRule>
    <cfRule type="expression" dxfId="29" priority="81">
      <formula>BG57="STEEL FORCE"</formula>
    </cfRule>
    <cfRule type="expression" dxfId="28" priority="82">
      <formula>BG57="JINTAI"</formula>
    </cfRule>
  </conditionalFormatting>
  <conditionalFormatting sqref="BG61:BM61">
    <cfRule type="expression" dxfId="27" priority="71">
      <formula>BG63="SUXUN"</formula>
    </cfRule>
    <cfRule type="expression" dxfId="26" priority="72">
      <formula>BG63="STEEL FORCE"</formula>
    </cfRule>
    <cfRule type="expression" dxfId="25" priority="73">
      <formula>BG63="JINTAI"</formula>
    </cfRule>
  </conditionalFormatting>
  <conditionalFormatting sqref="BJ19:BN19">
    <cfRule type="expression" dxfId="24" priority="110">
      <formula>BJ21="SUXUN"</formula>
    </cfRule>
    <cfRule type="expression" dxfId="23" priority="111">
      <formula>BJ21="STEEL FORCE"</formula>
    </cfRule>
    <cfRule type="expression" dxfId="22" priority="112">
      <formula>BJ21="JINTAI"</formula>
    </cfRule>
  </conditionalFormatting>
  <conditionalFormatting sqref="BJ25:BN25">
    <cfRule type="expression" dxfId="21" priority="118">
      <formula>BJ27="JINTAI"</formula>
    </cfRule>
    <cfRule type="expression" dxfId="20" priority="116">
      <formula>BJ27="SUXUN"</formula>
    </cfRule>
    <cfRule type="expression" dxfId="19" priority="117">
      <formula>BJ27="STEEL FORCE"</formula>
    </cfRule>
  </conditionalFormatting>
  <conditionalFormatting sqref="BP55:BU55">
    <cfRule type="expression" dxfId="18" priority="100">
      <formula>BP57="JINTAI"</formula>
    </cfRule>
    <cfRule type="expression" dxfId="17" priority="99">
      <formula>BP57="STEEL FORCE"</formula>
    </cfRule>
    <cfRule type="expression" dxfId="16" priority="98">
      <formula>BP57="SUXUN"</formula>
    </cfRule>
  </conditionalFormatting>
  <conditionalFormatting sqref="BP61:BU61">
    <cfRule type="expression" dxfId="15" priority="68">
      <formula>BP63="SUXUN"</formula>
    </cfRule>
    <cfRule type="expression" dxfId="14" priority="70">
      <formula>BP63="JINTAI"</formula>
    </cfRule>
    <cfRule type="expression" dxfId="13" priority="69">
      <formula>BP63="STEEL FORCE"</formula>
    </cfRule>
  </conditionalFormatting>
  <conditionalFormatting sqref="BQ32:BY32">
    <cfRule type="expression" dxfId="12" priority="16">
      <formula>BQ34="JINTAI"</formula>
    </cfRule>
    <cfRule type="expression" dxfId="11" priority="15">
      <formula>BQ34="STEEL FORCE"</formula>
    </cfRule>
    <cfRule type="expression" dxfId="10" priority="14">
      <formula>BQ34="SUXUN"</formula>
    </cfRule>
  </conditionalFormatting>
  <conditionalFormatting sqref="BU19:BY19">
    <cfRule type="expression" dxfId="9" priority="104">
      <formula>BU21="SUXUN"</formula>
    </cfRule>
    <cfRule type="expression" dxfId="8" priority="105">
      <formula>BU21="STEEL FORCE"</formula>
    </cfRule>
    <cfRule type="expression" dxfId="7" priority="106">
      <formula>BU21="JINTAI"</formula>
    </cfRule>
  </conditionalFormatting>
  <conditionalFormatting sqref="BU25:BY25">
    <cfRule type="expression" dxfId="6" priority="7">
      <formula>BU27="JINTAI"</formula>
    </cfRule>
    <cfRule type="expression" dxfId="5" priority="6">
      <formula>BU27="STEEL FORCE"</formula>
    </cfRule>
    <cfRule type="expression" dxfId="4" priority="5">
      <formula>BU27="SUXUN"</formula>
    </cfRule>
  </conditionalFormatting>
  <conditionalFormatting sqref="CQ38:CQ58">
    <cfRule type="duplicateValues" dxfId="3" priority="4"/>
  </conditionalFormatting>
  <conditionalFormatting sqref="DK37:DK59">
    <cfRule type="cellIs" dxfId="2" priority="3" operator="lessThan">
      <formula>0</formula>
    </cfRule>
    <cfRule type="cellIs" dxfId="1" priority="2" operator="equal">
      <formula>0</formula>
    </cfRule>
    <cfRule type="cellIs" dxfId="0" priority="1" operator="greaterThan">
      <formula>0</formula>
    </cfRule>
  </conditionalFormatting>
  <pageMargins left="0" right="0" top="0" bottom="0" header="0" footer="0"/>
  <pageSetup paperSize="9" scale="3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AEE4-5522-4BB5-9D3E-F8BDBC72A8F6}">
  <dimension ref="A1:BB152"/>
  <sheetViews>
    <sheetView zoomScaleNormal="100" workbookViewId="0">
      <selection activeCell="E1" sqref="E1"/>
    </sheetView>
  </sheetViews>
  <sheetFormatPr defaultColWidth="10.05078125" defaultRowHeight="12" customHeight="1" x14ac:dyDescent="0.15"/>
  <cols>
    <col min="1" max="1" width="11.15234375" style="163" customWidth="1"/>
    <col min="2" max="2" width="18.140625" style="163" customWidth="1"/>
    <col min="3" max="3" width="42.41796875" style="163" customWidth="1"/>
    <col min="4" max="4" width="15.078125" style="163" customWidth="1"/>
    <col min="5" max="5" width="13.359375" style="163" customWidth="1"/>
    <col min="6" max="16384" width="10.05078125" style="153"/>
  </cols>
  <sheetData>
    <row r="1" spans="1:5" ht="12" customHeight="1" x14ac:dyDescent="0.15">
      <c r="A1" s="150" t="s">
        <v>176</v>
      </c>
      <c r="B1" s="151" t="s">
        <v>177</v>
      </c>
      <c r="C1" s="151" t="s">
        <v>328</v>
      </c>
      <c r="D1" s="151" t="s">
        <v>277</v>
      </c>
      <c r="E1" s="152" t="s">
        <v>329</v>
      </c>
    </row>
    <row r="2" spans="1:5" ht="12" customHeight="1" x14ac:dyDescent="0.15">
      <c r="A2" s="154">
        <f>'MODELO LAYOUT'!$AI$15</f>
        <v>0</v>
      </c>
      <c r="B2" s="155">
        <f>'MODELO LAYOUT'!$AI$14</f>
        <v>0</v>
      </c>
      <c r="C2" s="155">
        <f>'MODELO LAYOUT'!AI18</f>
        <v>0</v>
      </c>
      <c r="D2" s="155">
        <f>'MODELO LAYOUT'!AI17</f>
        <v>0</v>
      </c>
      <c r="E2" s="156">
        <f>'MODELO LAYOUT'!AI9</f>
        <v>1</v>
      </c>
    </row>
    <row r="3" spans="1:5" ht="12" customHeight="1" x14ac:dyDescent="0.15">
      <c r="A3" s="154">
        <f>'MODELO LAYOUT'!$AJ$15</f>
        <v>0</v>
      </c>
      <c r="B3" s="155">
        <f>'MODELO LAYOUT'!$AJ$14</f>
        <v>0</v>
      </c>
      <c r="C3" s="155">
        <f>'MODELO LAYOUT'!AJ18</f>
        <v>0</v>
      </c>
      <c r="D3" s="155">
        <f>'MODELO LAYOUT'!AJ17</f>
        <v>0</v>
      </c>
      <c r="E3" s="156">
        <f>'MODELO LAYOUT'!AJ9</f>
        <v>2</v>
      </c>
    </row>
    <row r="4" spans="1:5" ht="12" customHeight="1" x14ac:dyDescent="0.15">
      <c r="A4" s="154">
        <f>'MODELO LAYOUT'!$AK$15</f>
        <v>0</v>
      </c>
      <c r="B4" s="155">
        <f>'MODELO LAYOUT'!$AK$14</f>
        <v>0</v>
      </c>
      <c r="C4" s="155">
        <f>'MODELO LAYOUT'!AK18</f>
        <v>0</v>
      </c>
      <c r="D4" s="155">
        <f>'MODELO LAYOUT'!AK17</f>
        <v>0</v>
      </c>
      <c r="E4" s="157">
        <f>'MODELO LAYOUT'!AK9</f>
        <v>3</v>
      </c>
    </row>
    <row r="5" spans="1:5" ht="12" customHeight="1" x14ac:dyDescent="0.15">
      <c r="A5" s="154">
        <f>'MODELO LAYOUT'!$AL$15</f>
        <v>0</v>
      </c>
      <c r="B5" s="155">
        <f>'MODELO LAYOUT'!$AL$14</f>
        <v>0</v>
      </c>
      <c r="C5" s="155">
        <f>'MODELO LAYOUT'!AL18</f>
        <v>0</v>
      </c>
      <c r="D5" s="155">
        <f>'MODELO LAYOUT'!AL17</f>
        <v>0</v>
      </c>
      <c r="E5" s="157">
        <f>'MODELO LAYOUT'!AL9</f>
        <v>4</v>
      </c>
    </row>
    <row r="6" spans="1:5" ht="12" customHeight="1" x14ac:dyDescent="0.15">
      <c r="A6" s="154">
        <f>'MODELO LAYOUT'!$AM$15</f>
        <v>0</v>
      </c>
      <c r="B6" s="155">
        <f>'MODELO LAYOUT'!$AM$14</f>
        <v>0</v>
      </c>
      <c r="C6" s="155">
        <f>'MODELO LAYOUT'!AM18</f>
        <v>0</v>
      </c>
      <c r="D6" s="155">
        <f>'MODELO LAYOUT'!AM17</f>
        <v>0</v>
      </c>
      <c r="E6" s="157">
        <f>'MODELO LAYOUT'!AM9</f>
        <v>5</v>
      </c>
    </row>
    <row r="7" spans="1:5" ht="12" customHeight="1" x14ac:dyDescent="0.15">
      <c r="A7" s="154">
        <f>'MODELO LAYOUT'!$AN$15</f>
        <v>0</v>
      </c>
      <c r="B7" s="155">
        <f>'MODELO LAYOUT'!$AN$14</f>
        <v>0</v>
      </c>
      <c r="C7" s="155">
        <f>'MODELO LAYOUT'!AN18</f>
        <v>0</v>
      </c>
      <c r="D7" s="155">
        <f>'MODELO LAYOUT'!AN17</f>
        <v>0</v>
      </c>
      <c r="E7" s="157">
        <f>'MODELO LAYOUT'!AN9</f>
        <v>6</v>
      </c>
    </row>
    <row r="8" spans="1:5" ht="12" customHeight="1" x14ac:dyDescent="0.15">
      <c r="A8" s="154">
        <f>'MODELO LAYOUT'!$AO$15</f>
        <v>0</v>
      </c>
      <c r="B8" s="155">
        <f>'MODELO LAYOUT'!$AO$14</f>
        <v>0</v>
      </c>
      <c r="C8" s="155">
        <f>'MODELO LAYOUT'!AO18</f>
        <v>0</v>
      </c>
      <c r="D8" s="155">
        <f>'MODELO LAYOUT'!AO1</f>
        <v>0</v>
      </c>
      <c r="E8" s="157">
        <f>'MODELO LAYOUT'!AO9</f>
        <v>7</v>
      </c>
    </row>
    <row r="9" spans="1:5" ht="12" customHeight="1" x14ac:dyDescent="0.15">
      <c r="A9" s="154">
        <f>'MODELO LAYOUT'!$AP$15</f>
        <v>0</v>
      </c>
      <c r="B9" s="155">
        <f>'MODELO LAYOUT'!$AP$14</f>
        <v>0</v>
      </c>
      <c r="C9" s="155">
        <f>'MODELO LAYOUT'!AP18</f>
        <v>0</v>
      </c>
      <c r="D9" s="155">
        <f>'MODELO LAYOUT'!AP17</f>
        <v>0</v>
      </c>
      <c r="E9" s="157">
        <f>'MODELO LAYOUT'!AP9</f>
        <v>8</v>
      </c>
    </row>
    <row r="10" spans="1:5" ht="12" customHeight="1" x14ac:dyDescent="0.15">
      <c r="A10" s="154">
        <f>'MODELO LAYOUT'!$AQ$15</f>
        <v>0</v>
      </c>
      <c r="B10" s="155">
        <f>'MODELO LAYOUT'!$AQ$14</f>
        <v>0</v>
      </c>
      <c r="C10" s="155">
        <f>'MODELO LAYOUT'!AQ18</f>
        <v>0</v>
      </c>
      <c r="D10" s="155">
        <f>'MODELO LAYOUT'!AQ17</f>
        <v>0</v>
      </c>
      <c r="E10" s="157">
        <f>'MODELO LAYOUT'!AQ9</f>
        <v>9</v>
      </c>
    </row>
    <row r="11" spans="1:5" ht="12" customHeight="1" x14ac:dyDescent="0.15">
      <c r="A11" s="154">
        <f>'MODELO LAYOUT'!$AR$15</f>
        <v>0</v>
      </c>
      <c r="B11" s="155">
        <f>'MODELO LAYOUT'!$AR$14</f>
        <v>0</v>
      </c>
      <c r="C11" s="155">
        <f>'MODELO LAYOUT'!AR18</f>
        <v>0</v>
      </c>
      <c r="D11" s="155">
        <f>'MODELO LAYOUT'!AR17</f>
        <v>0</v>
      </c>
      <c r="E11" s="157">
        <f>'MODELO LAYOUT'!AR9</f>
        <v>10</v>
      </c>
    </row>
    <row r="12" spans="1:5" ht="12" customHeight="1" x14ac:dyDescent="0.15">
      <c r="A12" s="154">
        <f>'MODELO LAYOUT'!$AS$15</f>
        <v>0</v>
      </c>
      <c r="B12" s="155">
        <f>'MODELO LAYOUT'!$AS$14</f>
        <v>0</v>
      </c>
      <c r="C12" s="155">
        <f>'MODELO LAYOUT'!AS18</f>
        <v>0</v>
      </c>
      <c r="D12" s="155">
        <f>'MODELO LAYOUT'!AS17</f>
        <v>0</v>
      </c>
      <c r="E12" s="157">
        <f>'MODELO LAYOUT'!AS9</f>
        <v>11</v>
      </c>
    </row>
    <row r="13" spans="1:5" ht="12" customHeight="1" x14ac:dyDescent="0.15">
      <c r="A13" s="154">
        <f>'MODELO LAYOUT'!$AT$15</f>
        <v>0</v>
      </c>
      <c r="B13" s="155">
        <f>'MODELO LAYOUT'!$AT$14</f>
        <v>0</v>
      </c>
      <c r="C13" s="155">
        <f>'MODELO LAYOUT'!AT18</f>
        <v>0</v>
      </c>
      <c r="D13" s="155">
        <f>'MODELO LAYOUT'!AT17</f>
        <v>0</v>
      </c>
      <c r="E13" s="157">
        <f>'MODELO LAYOUT'!AT9</f>
        <v>12</v>
      </c>
    </row>
    <row r="14" spans="1:5" ht="12" customHeight="1" x14ac:dyDescent="0.15">
      <c r="A14" s="154">
        <f>'MODELO LAYOUT'!$AU$15</f>
        <v>213677</v>
      </c>
      <c r="B14" s="155">
        <f>'MODELO LAYOUT'!$AU$14</f>
        <v>13932</v>
      </c>
      <c r="C14" s="155">
        <f>'MODELO LAYOUT'!AU18</f>
        <v>0</v>
      </c>
      <c r="D14" s="155">
        <f>'MODELO LAYOUT'!AU17</f>
        <v>0</v>
      </c>
      <c r="E14" s="157">
        <f>'MODELO LAYOUT'!AU9</f>
        <v>13</v>
      </c>
    </row>
    <row r="15" spans="1:5" ht="12" customHeight="1" x14ac:dyDescent="0.15">
      <c r="A15" s="154">
        <f>'MODELO LAYOUT'!$AV$15</f>
        <v>212037</v>
      </c>
      <c r="B15" s="155">
        <f>'MODELO LAYOUT'!$AV$14</f>
        <v>640</v>
      </c>
      <c r="C15" s="155" t="str">
        <f>'MODELO LAYOUT'!AV18</f>
        <v>CLUB COLOMBIA MALA IMPRESION</v>
      </c>
      <c r="D15" s="155" t="str">
        <f>'MODELO LAYOUT'!AV17</f>
        <v>SUXUN</v>
      </c>
      <c r="E15" s="157">
        <f>'MODELO LAYOUT'!AV9</f>
        <v>14</v>
      </c>
    </row>
    <row r="16" spans="1:5" ht="12" customHeight="1" x14ac:dyDescent="0.15">
      <c r="A16" s="154">
        <f>'MODELO LAYOUT'!$AW$15</f>
        <v>211671</v>
      </c>
      <c r="B16" s="155">
        <f>'MODELO LAYOUT'!$AW$14</f>
        <v>2313</v>
      </c>
      <c r="C16" s="155" t="str">
        <f>'MODELO LAYOUT'!AW18</f>
        <v>COLA Y POLA</v>
      </c>
      <c r="D16" s="155" t="str">
        <f>'MODELO LAYOUT'!AW17</f>
        <v>JINTAI</v>
      </c>
      <c r="E16" s="157">
        <f>'MODELO LAYOUT'!AW9</f>
        <v>15</v>
      </c>
    </row>
    <row r="17" spans="1:5" ht="12" customHeight="1" x14ac:dyDescent="0.15">
      <c r="A17" s="154">
        <f>'MODELO LAYOUT'!$AX$15</f>
        <v>211749</v>
      </c>
      <c r="B17" s="155">
        <f>'MODELO LAYOUT'!$AX$14</f>
        <v>2955</v>
      </c>
      <c r="C17" s="155" t="str">
        <f>'MODELO LAYOUT'!AX18</f>
        <v>BASE BEIGE</v>
      </c>
      <c r="D17" s="155" t="str">
        <f>'MODELO LAYOUT'!AX17</f>
        <v>SUXUN</v>
      </c>
      <c r="E17" s="157">
        <f>'MODELO LAYOUT'!AX9</f>
        <v>16</v>
      </c>
    </row>
    <row r="18" spans="1:5" ht="12" customHeight="1" x14ac:dyDescent="0.15">
      <c r="A18" s="154">
        <f>'MODELO LAYOUT'!$AY$15</f>
        <v>210655</v>
      </c>
      <c r="B18" s="155">
        <f>'MODELO LAYOUT'!$AY$14</f>
        <v>1694</v>
      </c>
      <c r="C18" s="155" t="str">
        <f>'MODELO LAYOUT'!AY18</f>
        <v>PILSENER LACADA + SIZING</v>
      </c>
      <c r="D18" s="155" t="str">
        <f>'MODELO LAYOUT'!AY17</f>
        <v>SUXUN</v>
      </c>
      <c r="E18" s="157">
        <f>'MODELO LAYOUT'!AY9</f>
        <v>17</v>
      </c>
    </row>
    <row r="19" spans="1:5" ht="12" customHeight="1" x14ac:dyDescent="0.15">
      <c r="A19" s="154">
        <f>'MODELO LAYOUT'!$AZ$15</f>
        <v>213239</v>
      </c>
      <c r="B19" s="155">
        <f>'MODELO LAYOUT'!$AZ$14</f>
        <v>371</v>
      </c>
      <c r="C19" s="155" t="str">
        <f>'MODELO LAYOUT'!AZ18</f>
        <v>PILSENER</v>
      </c>
      <c r="D19" s="155" t="str">
        <f>'MODELO LAYOUT'!AZ17</f>
        <v>SUXUN</v>
      </c>
      <c r="E19" s="157">
        <f>'MODELO LAYOUT'!AZ9</f>
        <v>18</v>
      </c>
    </row>
    <row r="20" spans="1:5" ht="12" customHeight="1" x14ac:dyDescent="0.15">
      <c r="A20" s="154">
        <f>'MODELO LAYOUT'!$BA$15</f>
        <v>213995</v>
      </c>
      <c r="B20" s="155">
        <f>'MODELO LAYOUT'!$BA$14</f>
        <v>310</v>
      </c>
      <c r="C20" s="155">
        <f>'MODELO LAYOUT'!BA18</f>
        <v>0</v>
      </c>
      <c r="D20" s="155">
        <f>'MODELO LAYOUT'!BA17</f>
        <v>0</v>
      </c>
      <c r="E20" s="157">
        <f>'MODELO LAYOUT'!BA9</f>
        <v>19</v>
      </c>
    </row>
    <row r="21" spans="1:5" ht="12" customHeight="1" x14ac:dyDescent="0.15">
      <c r="A21" s="154">
        <f>'MODELO LAYOUT'!$BB$15</f>
        <v>212315</v>
      </c>
      <c r="B21" s="155">
        <f>'MODELO LAYOUT'!$BB$14</f>
        <v>140</v>
      </c>
      <c r="C21" s="155" t="str">
        <f>'MODELO LAYOUT'!BB18</f>
        <v>COSTEÑITA CB</v>
      </c>
      <c r="D21" s="155" t="str">
        <f>'MODELO LAYOUT'!BB17</f>
        <v>STEEL FORCE</v>
      </c>
      <c r="E21" s="157">
        <f>'MODELO LAYOUT'!BB9</f>
        <v>20</v>
      </c>
    </row>
    <row r="22" spans="1:5" ht="12" customHeight="1" x14ac:dyDescent="0.15">
      <c r="A22" s="154">
        <f>'MODELO LAYOUT'!$BC$15</f>
        <v>210760</v>
      </c>
      <c r="B22" s="155">
        <f>'MODELO LAYOUT'!$BC$14</f>
        <v>165</v>
      </c>
      <c r="C22" s="155" t="str">
        <f>'MODELO LAYOUT'!BC18</f>
        <v xml:space="preserve">ÁGUILA ORIGINAL </v>
      </c>
      <c r="D22" s="155" t="str">
        <f>'MODELO LAYOUT'!BC17</f>
        <v>STEEL FORCE</v>
      </c>
      <c r="E22" s="157">
        <f>'MODELO LAYOUT'!BC9</f>
        <v>21</v>
      </c>
    </row>
    <row r="23" spans="1:5" ht="12" customHeight="1" x14ac:dyDescent="0.15">
      <c r="A23" s="154">
        <f>'MODELO LAYOUT'!$AI$21</f>
        <v>0</v>
      </c>
      <c r="B23" s="155">
        <f>'MODELO LAYOUT'!AI$20</f>
        <v>0</v>
      </c>
      <c r="C23" s="155">
        <f>'MODELO LAYOUT'!AI24</f>
        <v>0</v>
      </c>
      <c r="D23" s="155" t="str">
        <f>'MODELO LAYOUT'!AI23</f>
        <v xml:space="preserve"> </v>
      </c>
      <c r="E23" s="157">
        <f>'MODELO LAYOUT'!AI25</f>
        <v>0</v>
      </c>
    </row>
    <row r="24" spans="1:5" ht="12" customHeight="1" x14ac:dyDescent="0.15">
      <c r="A24" s="154">
        <f>'MODELO LAYOUT'!$AJ$21</f>
        <v>0</v>
      </c>
      <c r="B24" s="155">
        <f>'MODELO LAYOUT'!$AJ$20</f>
        <v>0</v>
      </c>
      <c r="C24" s="155">
        <f>'MODELO LAYOUT'!AJ24</f>
        <v>0</v>
      </c>
      <c r="D24" s="155">
        <f>'MODELO LAYOUT'!AJ23</f>
        <v>0</v>
      </c>
      <c r="E24" s="157">
        <f>'MODELO LAYOUT'!AJ25</f>
        <v>0</v>
      </c>
    </row>
    <row r="25" spans="1:5" ht="12" customHeight="1" x14ac:dyDescent="0.15">
      <c r="A25" s="154">
        <f>'MODELO LAYOUT'!$AK$21</f>
        <v>0</v>
      </c>
      <c r="B25" s="155">
        <f>'MODELO LAYOUT'!$AK$20</f>
        <v>0</v>
      </c>
      <c r="C25" s="155">
        <f>'MODELO LAYOUT'!AK24</f>
        <v>0</v>
      </c>
      <c r="D25" s="155">
        <f>'MODELO LAYOUT'!AK23</f>
        <v>0</v>
      </c>
      <c r="E25" s="157">
        <f>'MODELO LAYOUT'!AK25</f>
        <v>0</v>
      </c>
    </row>
    <row r="26" spans="1:5" ht="12" customHeight="1" x14ac:dyDescent="0.15">
      <c r="A26" s="154">
        <f>'MODELO LAYOUT'!$AL$21</f>
        <v>0</v>
      </c>
      <c r="B26" s="155">
        <f>'MODELO LAYOUT'!$AL$20</f>
        <v>0</v>
      </c>
      <c r="C26" s="155">
        <f>'MODELO LAYOUT'!AL24</f>
        <v>0</v>
      </c>
      <c r="D26" s="155">
        <f>'MODELO LAYOUT'!AL23</f>
        <v>0</v>
      </c>
      <c r="E26" s="157">
        <f>'MODELO LAYOUT'!AL25</f>
        <v>0</v>
      </c>
    </row>
    <row r="27" spans="1:5" ht="12" customHeight="1" x14ac:dyDescent="0.15">
      <c r="A27" s="154">
        <f>'MODELO LAYOUT'!$AM$21</f>
        <v>0</v>
      </c>
      <c r="B27" s="155">
        <f>'MODELO LAYOUT'!$AM$20</f>
        <v>0</v>
      </c>
      <c r="C27" s="155">
        <f>'MODELO LAYOUT'!AM24</f>
        <v>0</v>
      </c>
      <c r="D27" s="155">
        <f>'MODELO LAYOUT'!AM23</f>
        <v>0</v>
      </c>
      <c r="E27" s="157">
        <f>'MODELO LAYOUT'!AM25</f>
        <v>0</v>
      </c>
    </row>
    <row r="28" spans="1:5" ht="12" customHeight="1" x14ac:dyDescent="0.15">
      <c r="A28" s="154">
        <f>'MODELO LAYOUT'!AN$21</f>
        <v>0</v>
      </c>
      <c r="B28" s="155">
        <f>'MODELO LAYOUT'!$AN$20</f>
        <v>0</v>
      </c>
      <c r="C28" s="155">
        <f>'MODELO LAYOUT'!AN24</f>
        <v>0</v>
      </c>
      <c r="D28" s="155">
        <f>'MODELO LAYOUT'!AN23</f>
        <v>0</v>
      </c>
      <c r="E28" s="157">
        <f>'MODELO LAYOUT'!AN25</f>
        <v>0</v>
      </c>
    </row>
    <row r="29" spans="1:5" ht="12" customHeight="1" x14ac:dyDescent="0.15">
      <c r="A29" s="154">
        <f>'MODELO LAYOUT'!$AO$21</f>
        <v>0</v>
      </c>
      <c r="B29" s="155">
        <f>'MODELO LAYOUT'!$AO$20</f>
        <v>0</v>
      </c>
      <c r="C29" s="155">
        <f>'MODELO LAYOUT'!AO24</f>
        <v>0</v>
      </c>
      <c r="D29" s="155">
        <f>'MODELO LAYOUT'!AO23</f>
        <v>0</v>
      </c>
      <c r="E29" s="157">
        <f>'MODELO LAYOUT'!AO25</f>
        <v>0</v>
      </c>
    </row>
    <row r="30" spans="1:5" ht="12" customHeight="1" x14ac:dyDescent="0.15">
      <c r="A30" s="154">
        <f>'MODELO LAYOUT'!$AP$21</f>
        <v>0</v>
      </c>
      <c r="B30" s="155">
        <f>'MODELO LAYOUT'!$AP$20</f>
        <v>0</v>
      </c>
      <c r="C30" s="155">
        <f>'MODELO LAYOUT'!AP24</f>
        <v>0</v>
      </c>
      <c r="D30" s="155">
        <f>'MODELO LAYOUT'!AP23</f>
        <v>0</v>
      </c>
      <c r="E30" s="157">
        <f>'MODELO LAYOUT'!AP25</f>
        <v>0</v>
      </c>
    </row>
    <row r="31" spans="1:5" ht="12" customHeight="1" x14ac:dyDescent="0.15">
      <c r="A31" s="154">
        <f>'MODELO LAYOUT'!$AQ$21</f>
        <v>0</v>
      </c>
      <c r="B31" s="155">
        <f>'MODELO LAYOUT'!$AQ$20</f>
        <v>0</v>
      </c>
      <c r="C31" s="155">
        <f>'MODELO LAYOUT'!AQ24</f>
        <v>0</v>
      </c>
      <c r="D31" s="155">
        <f>'MODELO LAYOUT'!AQ23</f>
        <v>0</v>
      </c>
      <c r="E31" s="157">
        <f>'MODELO LAYOUT'!AQ25</f>
        <v>0</v>
      </c>
    </row>
    <row r="32" spans="1:5" ht="12" customHeight="1" x14ac:dyDescent="0.15">
      <c r="A32" s="154">
        <f>'MODELO LAYOUT'!$AR$21</f>
        <v>0</v>
      </c>
      <c r="B32" s="155">
        <f>'MODELO LAYOUT'!$AR$20</f>
        <v>0</v>
      </c>
      <c r="C32" s="155">
        <f>'MODELO LAYOUT'!AR24</f>
        <v>0</v>
      </c>
      <c r="D32" s="155">
        <f>'MODELO LAYOUT'!AR23</f>
        <v>0</v>
      </c>
      <c r="E32" s="157">
        <f>'MODELO LAYOUT'!AR25</f>
        <v>0</v>
      </c>
    </row>
    <row r="33" spans="1:5" ht="12" customHeight="1" x14ac:dyDescent="0.15">
      <c r="A33" s="154">
        <f>'MODELO LAYOUT'!$AS$21</f>
        <v>0</v>
      </c>
      <c r="B33" s="155">
        <f>'MODELO LAYOUT'!$AS$20</f>
        <v>0</v>
      </c>
      <c r="C33" s="155">
        <f>'MODELO LAYOUT'!AS24</f>
        <v>0</v>
      </c>
      <c r="D33" s="155">
        <f>'MODELO LAYOUT'!AS23</f>
        <v>0</v>
      </c>
      <c r="E33" s="157">
        <f>'MODELO LAYOUT'!AS25</f>
        <v>0</v>
      </c>
    </row>
    <row r="34" spans="1:5" ht="12" customHeight="1" x14ac:dyDescent="0.15">
      <c r="A34" s="154">
        <f>'MODELO LAYOUT'!$AT$21</f>
        <v>0</v>
      </c>
      <c r="B34" s="155">
        <f>'MODELO LAYOUT'!$AT$20</f>
        <v>0</v>
      </c>
      <c r="C34" s="155">
        <f>'MODELO LAYOUT'!AT24</f>
        <v>0</v>
      </c>
      <c r="D34" s="155">
        <f>'MODELO LAYOUT'!AT23</f>
        <v>0</v>
      </c>
      <c r="E34" s="157">
        <f>'MODELO LAYOUT'!AT25</f>
        <v>0</v>
      </c>
    </row>
    <row r="35" spans="1:5" ht="12" customHeight="1" x14ac:dyDescent="0.15">
      <c r="A35" s="154">
        <f>'MODELO LAYOUT'!$AU$21</f>
        <v>0</v>
      </c>
      <c r="B35" s="155">
        <f>'MODELO LAYOUT'!$AU$20</f>
        <v>0</v>
      </c>
      <c r="C35" s="155">
        <f>'MODELO LAYOUT'!AU24</f>
        <v>0</v>
      </c>
      <c r="D35" s="155">
        <f>'MODELO LAYOUT'!AU23</f>
        <v>0</v>
      </c>
      <c r="E35" s="157">
        <f>'MODELO LAYOUT'!AU25</f>
        <v>0</v>
      </c>
    </row>
    <row r="36" spans="1:5" ht="12" customHeight="1" x14ac:dyDescent="0.15">
      <c r="A36" s="154">
        <f>'MODELO LAYOUT'!$AV$21</f>
        <v>0</v>
      </c>
      <c r="B36" s="155">
        <f>'MODELO LAYOUT'!$AV$20</f>
        <v>0</v>
      </c>
      <c r="C36" s="155">
        <f>'MODELO LAYOUT'!AV24</f>
        <v>0</v>
      </c>
      <c r="D36" s="155">
        <f>'MODELO LAYOUT'!AV23</f>
        <v>0</v>
      </c>
      <c r="E36" s="157">
        <f>'MODELO LAYOUT'!AV25</f>
        <v>0</v>
      </c>
    </row>
    <row r="37" spans="1:5" ht="12" customHeight="1" x14ac:dyDescent="0.15">
      <c r="A37" s="154">
        <f>'MODELO LAYOUT'!$AW$21</f>
        <v>212037</v>
      </c>
      <c r="B37" s="155">
        <f>'MODELO LAYOUT'!$AW$20</f>
        <v>480</v>
      </c>
      <c r="C37" s="155" t="str">
        <f>'MODELO LAYOUT'!AW24</f>
        <v xml:space="preserve">CLUB </v>
      </c>
      <c r="D37" s="155" t="str">
        <f>'MODELO LAYOUT'!AW23</f>
        <v>SUXUN</v>
      </c>
      <c r="E37" s="157">
        <f>'MODELO LAYOUT'!AW25</f>
        <v>0</v>
      </c>
    </row>
    <row r="38" spans="1:5" ht="12" customHeight="1" x14ac:dyDescent="0.15">
      <c r="A38" s="154">
        <f>'MODELO LAYOUT'!$AX$21</f>
        <v>0</v>
      </c>
      <c r="B38" s="155">
        <f>'MODELO LAYOUT'!$AX$20</f>
        <v>0</v>
      </c>
      <c r="C38" s="155">
        <f>'MODELO LAYOUT'!AX24</f>
        <v>0</v>
      </c>
      <c r="D38" s="155">
        <f>'MODELO LAYOUT'!AX23</f>
        <v>0</v>
      </c>
      <c r="E38" s="157">
        <f>'MODELO LAYOUT'!AX25</f>
        <v>0</v>
      </c>
    </row>
    <row r="39" spans="1:5" ht="12" customHeight="1" x14ac:dyDescent="0.15">
      <c r="A39" s="154">
        <f>'MODELO LAYOUT'!$AY$21</f>
        <v>207544</v>
      </c>
      <c r="B39" s="155">
        <f>'MODELO LAYOUT'!$AY$20</f>
        <v>1690</v>
      </c>
      <c r="C39" s="155" t="str">
        <f>'MODELO LAYOUT'!AY24</f>
        <v>LACADA PARA POKER</v>
      </c>
      <c r="D39" s="155" t="str">
        <f>'MODELO LAYOUT'!AY23</f>
        <v>NIPÓN</v>
      </c>
      <c r="E39" s="157">
        <f>'MODELO LAYOUT'!AY25</f>
        <v>0</v>
      </c>
    </row>
    <row r="40" spans="1:5" ht="12" customHeight="1" x14ac:dyDescent="0.15">
      <c r="A40" s="154">
        <f>'MODELO LAYOUT'!$AZ$21</f>
        <v>210656</v>
      </c>
      <c r="B40" s="155">
        <f>'MODELO LAYOUT'!$AZ$20</f>
        <v>4918</v>
      </c>
      <c r="C40" s="155" t="str">
        <f>'MODELO LAYOUT'!AZ24</f>
        <v xml:space="preserve">BASE BLANCA PONY </v>
      </c>
      <c r="D40" s="155" t="str">
        <f>'MODELO LAYOUT'!AZ23</f>
        <v>STEEL FORCE</v>
      </c>
      <c r="E40" s="157">
        <f>'MODELO LAYOUT'!AZ25</f>
        <v>0</v>
      </c>
    </row>
    <row r="41" spans="1:5" ht="12" customHeight="1" x14ac:dyDescent="0.15">
      <c r="A41" s="154">
        <f>'MODELO LAYOUT'!$BA$21</f>
        <v>0</v>
      </c>
      <c r="B41" s="155">
        <f>'MODELO LAYOUT'!$BA$20</f>
        <v>0</v>
      </c>
      <c r="C41" s="155">
        <f>'MODELO LAYOUT'!BA24</f>
        <v>0</v>
      </c>
      <c r="D41" s="155">
        <f>'MODELO LAYOUT'!BA23</f>
        <v>0</v>
      </c>
      <c r="E41" s="157">
        <f>'MODELO LAYOUT'!BA25</f>
        <v>0</v>
      </c>
    </row>
    <row r="42" spans="1:5" ht="12" customHeight="1" x14ac:dyDescent="0.15">
      <c r="A42" s="154">
        <f>'MODELO LAYOUT'!$BB$21</f>
        <v>0</v>
      </c>
      <c r="B42" s="155">
        <f>'MODELO LAYOUT'!$BB$20</f>
        <v>0</v>
      </c>
      <c r="C42" s="155">
        <f>'MODELO LAYOUT'!BB24</f>
        <v>0</v>
      </c>
      <c r="D42" s="155">
        <f>'MODELO LAYOUT'!BB23</f>
        <v>0</v>
      </c>
      <c r="E42" s="157">
        <f>'MODELO LAYOUT'!BB25</f>
        <v>0</v>
      </c>
    </row>
    <row r="43" spans="1:5" ht="12" customHeight="1" x14ac:dyDescent="0.15">
      <c r="A43" s="154">
        <f>'MODELO LAYOUT'!$BC$21</f>
        <v>0</v>
      </c>
      <c r="B43" s="155">
        <f>'MODELO LAYOUT'!$BC$20</f>
        <v>0</v>
      </c>
      <c r="C43" s="155">
        <f>'MODELO LAYOUT'!BC24</f>
        <v>0</v>
      </c>
      <c r="D43" s="155">
        <f>'MODELO LAYOUT'!BC23</f>
        <v>0</v>
      </c>
      <c r="E43" s="157">
        <f>'MODELO LAYOUT'!BC25</f>
        <v>0</v>
      </c>
    </row>
    <row r="44" spans="1:5" ht="12" customHeight="1" x14ac:dyDescent="0.15">
      <c r="A44" s="154">
        <f>'MODELO LAYOUT'!$BE$15</f>
        <v>0</v>
      </c>
      <c r="B44" s="155">
        <f>'MODELO LAYOUT'!$BE$14</f>
        <v>0</v>
      </c>
      <c r="C44" s="155">
        <f>'MODELO LAYOUT'!BE18</f>
        <v>0</v>
      </c>
      <c r="D44" s="155">
        <f>'MODELO LAYOUT'!BE17</f>
        <v>0</v>
      </c>
      <c r="E44" s="157">
        <f>'MODELO LAYOUT'!BE9</f>
        <v>22</v>
      </c>
    </row>
    <row r="45" spans="1:5" ht="12" customHeight="1" x14ac:dyDescent="0.15">
      <c r="A45" s="154">
        <f>'MODELO LAYOUT'!$BF$15</f>
        <v>0</v>
      </c>
      <c r="B45" s="155">
        <f>'MODELO LAYOUT'!$BF$14</f>
        <v>0</v>
      </c>
      <c r="C45" s="155">
        <f>'MODELO LAYOUT'!BF18</f>
        <v>0</v>
      </c>
      <c r="D45" s="155">
        <f>'MODELO LAYOUT'!BF17</f>
        <v>0</v>
      </c>
      <c r="E45" s="157">
        <f>'MODELO LAYOUT'!BF9</f>
        <v>23</v>
      </c>
    </row>
    <row r="46" spans="1:5" ht="12" customHeight="1" x14ac:dyDescent="0.15">
      <c r="A46" s="154">
        <f>'MODELO LAYOUT'!$BG$15</f>
        <v>0</v>
      </c>
      <c r="B46" s="155">
        <f>'MODELO LAYOUT'!$BG$14</f>
        <v>0</v>
      </c>
      <c r="C46" s="155">
        <f>'MODELO LAYOUT'!BG18</f>
        <v>0</v>
      </c>
      <c r="D46" s="155">
        <f>'MODELO LAYOUT'!BG17</f>
        <v>0</v>
      </c>
      <c r="E46" s="157">
        <f>'MODELO LAYOUT'!BG9</f>
        <v>24</v>
      </c>
    </row>
    <row r="47" spans="1:5" ht="12" customHeight="1" x14ac:dyDescent="0.15">
      <c r="A47" s="154">
        <f>'MODELO LAYOUT'!$BE$21</f>
        <v>0</v>
      </c>
      <c r="B47" s="155">
        <f>'MODELO LAYOUT'!$BE$20</f>
        <v>0</v>
      </c>
      <c r="C47" s="155">
        <f>'MODELO LAYOUT'!BE24</f>
        <v>0</v>
      </c>
      <c r="D47" s="155">
        <f>'MODELO LAYOUT'!BE23</f>
        <v>0</v>
      </c>
      <c r="E47" s="157">
        <f>'MODELO LAYOUT'!BE25</f>
        <v>0</v>
      </c>
    </row>
    <row r="48" spans="1:5" ht="12" customHeight="1" x14ac:dyDescent="0.15">
      <c r="A48" s="154">
        <f>'MODELO LAYOUT'!$BF$21</f>
        <v>0</v>
      </c>
      <c r="B48" s="155">
        <f>'MODELO LAYOUT'!$BF$20</f>
        <v>0</v>
      </c>
      <c r="C48" s="155">
        <f>'MODELO LAYOUT'!BF24</f>
        <v>0</v>
      </c>
      <c r="D48" s="155">
        <f>'MODELO LAYOUT'!BF23</f>
        <v>0</v>
      </c>
      <c r="E48" s="157">
        <f>'MODELO LAYOUT'!BF25</f>
        <v>0</v>
      </c>
    </row>
    <row r="49" spans="1:5" ht="12" customHeight="1" x14ac:dyDescent="0.15">
      <c r="A49" s="154">
        <f>'MODELO LAYOUT'!$BG$21</f>
        <v>0</v>
      </c>
      <c r="B49" s="155">
        <f>'MODELO LAYOUT'!$BG$20</f>
        <v>0</v>
      </c>
      <c r="C49" s="155">
        <f>'MODELO LAYOUT'!BG24</f>
        <v>0</v>
      </c>
      <c r="D49" s="155">
        <f>'MODELO LAYOUT'!BG23</f>
        <v>0</v>
      </c>
      <c r="E49" s="157">
        <f>'MODELO LAYOUT'!BG25</f>
        <v>0</v>
      </c>
    </row>
    <row r="50" spans="1:5" ht="12" customHeight="1" x14ac:dyDescent="0.15">
      <c r="A50" s="154">
        <f>'MODELO LAYOUT'!$BJ$19</f>
        <v>0</v>
      </c>
      <c r="B50" s="155">
        <f>'MODELO LAYOUT'!$BJ$18</f>
        <v>0</v>
      </c>
      <c r="C50" s="155">
        <f>'MODELO LAYOUT'!BJ22</f>
        <v>0</v>
      </c>
      <c r="D50" s="155">
        <f>'MODELO LAYOUT'!BJ21</f>
        <v>0</v>
      </c>
      <c r="E50" s="157">
        <f>'MODELO LAYOUT'!BJ9</f>
        <v>25</v>
      </c>
    </row>
    <row r="51" spans="1:5" ht="12" customHeight="1" x14ac:dyDescent="0.15">
      <c r="A51" s="154">
        <f>'MODELO LAYOUT'!$BK$19</f>
        <v>213732</v>
      </c>
      <c r="B51" s="155">
        <f>'MODELO LAYOUT'!$BK$18</f>
        <v>743</v>
      </c>
      <c r="C51" s="155" t="str">
        <f>'MODELO LAYOUT'!BK22</f>
        <v>COSTEÑA BACANA CENTRO</v>
      </c>
      <c r="D51" s="155" t="str">
        <f>'MODELO LAYOUT'!BK21</f>
        <v>STEEL FORCE</v>
      </c>
      <c r="E51" s="157">
        <f>'MODELO LAYOUT'!BK9</f>
        <v>26</v>
      </c>
    </row>
    <row r="52" spans="1:5" ht="12" customHeight="1" x14ac:dyDescent="0.15">
      <c r="A52" s="154">
        <f>'MODELO LAYOUT'!$BL$19</f>
        <v>213637</v>
      </c>
      <c r="B52" s="155">
        <f>'MODELO LAYOUT'!$BL$18</f>
        <v>974</v>
      </c>
      <c r="C52" s="155" t="str">
        <f>'MODELO LAYOUT'!BL22</f>
        <v>LIGHT</v>
      </c>
      <c r="D52" s="155" t="str">
        <f>'MODELO LAYOUT'!BL21</f>
        <v>STEEL FORCE</v>
      </c>
      <c r="E52" s="157">
        <f>'MODELO LAYOUT'!BL9</f>
        <v>27</v>
      </c>
    </row>
    <row r="53" spans="1:5" ht="12" customHeight="1" x14ac:dyDescent="0.15">
      <c r="A53" s="154">
        <f>'MODELO LAYOUT'!$BM$19</f>
        <v>213868</v>
      </c>
      <c r="B53" s="155">
        <f>'MODELO LAYOUT'!$BM$18</f>
        <v>400</v>
      </c>
      <c r="C53" s="155" t="str">
        <f>'MODELO LAYOUT'!BM22</f>
        <v>TEST</v>
      </c>
      <c r="D53" s="155" t="str">
        <f>'MODELO LAYOUT'!BM21</f>
        <v>JINTAI</v>
      </c>
      <c r="E53" s="157">
        <f>'MODELO LAYOUT'!BM9</f>
        <v>28</v>
      </c>
    </row>
    <row r="54" spans="1:5" ht="12" customHeight="1" x14ac:dyDescent="0.15">
      <c r="A54" s="154">
        <f>'MODELO LAYOUT'!$BN$19</f>
        <v>211691</v>
      </c>
      <c r="B54" s="155">
        <f>'MODELO LAYOUT'!$BN$18</f>
        <v>1847</v>
      </c>
      <c r="C54" s="155" t="str">
        <f>'MODELO LAYOUT'!BN22</f>
        <v>NATIVA</v>
      </c>
      <c r="D54" s="155" t="str">
        <f>'MODELO LAYOUT'!BN21</f>
        <v>JINTAI</v>
      </c>
      <c r="E54" s="157">
        <f>'MODELO LAYOUT'!BN9</f>
        <v>29</v>
      </c>
    </row>
    <row r="55" spans="1:5" ht="12" customHeight="1" x14ac:dyDescent="0.15">
      <c r="A55" s="154">
        <f>'MODELO LAYOUT'!$BJ$25</f>
        <v>0</v>
      </c>
      <c r="B55" s="155">
        <f>'MODELO LAYOUT'!$BJ$24</f>
        <v>0</v>
      </c>
      <c r="C55" s="155">
        <f>'MODELO LAYOUT'!BJ28</f>
        <v>0</v>
      </c>
      <c r="D55" s="155">
        <f>'MODELO LAYOUT'!BJ27</f>
        <v>0</v>
      </c>
      <c r="E55" s="157">
        <f>'MODELO LAYOUT'!BJ29</f>
        <v>0</v>
      </c>
    </row>
    <row r="56" spans="1:5" ht="12" customHeight="1" x14ac:dyDescent="0.15">
      <c r="A56" s="154">
        <f>'MODELO LAYOUT'!$BK$25</f>
        <v>0</v>
      </c>
      <c r="B56" s="155">
        <f>'MODELO LAYOUT'!$BK$24</f>
        <v>0</v>
      </c>
      <c r="C56" s="155">
        <f>'MODELO LAYOUT'!BK28</f>
        <v>0</v>
      </c>
      <c r="D56" s="155">
        <f>'MODELO LAYOUT'!BK27</f>
        <v>0</v>
      </c>
      <c r="E56" s="157">
        <f>'MODELO LAYOUT'!BK29</f>
        <v>0</v>
      </c>
    </row>
    <row r="57" spans="1:5" ht="12" customHeight="1" x14ac:dyDescent="0.15">
      <c r="A57" s="154">
        <f>'MODELO LAYOUT'!$BL$25</f>
        <v>0</v>
      </c>
      <c r="B57" s="155">
        <f>'MODELO LAYOUT'!$BL$24</f>
        <v>0</v>
      </c>
      <c r="C57" s="155">
        <f>'MODELO LAYOUT'!BL28</f>
        <v>0</v>
      </c>
      <c r="D57" s="155">
        <f>'MODELO LAYOUT'!BL27</f>
        <v>0</v>
      </c>
      <c r="E57" s="157">
        <f>'MODELO LAYOUT'!BL29</f>
        <v>0</v>
      </c>
    </row>
    <row r="58" spans="1:5" ht="12" customHeight="1" x14ac:dyDescent="0.15">
      <c r="A58" s="154">
        <f>'MODELO LAYOUT'!$BM$25</f>
        <v>0</v>
      </c>
      <c r="B58" s="155">
        <f>'MODELO LAYOUT'!$BM$24</f>
        <v>0</v>
      </c>
      <c r="C58" s="155">
        <f>'MODELO LAYOUT'!BM28</f>
        <v>0</v>
      </c>
      <c r="D58" s="155">
        <f>'MODELO LAYOUT'!BM27</f>
        <v>0</v>
      </c>
      <c r="E58" s="157">
        <f>'MODELO LAYOUT'!BM29</f>
        <v>0</v>
      </c>
    </row>
    <row r="59" spans="1:5" ht="12" customHeight="1" x14ac:dyDescent="0.15">
      <c r="A59" s="154">
        <f>'MODELO LAYOUT'!$BN$25</f>
        <v>0</v>
      </c>
      <c r="B59" s="155">
        <f>'MODELO LAYOUT'!$BN$24</f>
        <v>0</v>
      </c>
      <c r="C59" s="155">
        <f>'MODELO LAYOUT'!BN28</f>
        <v>0</v>
      </c>
      <c r="D59" s="155">
        <f>'MODELO LAYOUT'!BN27</f>
        <v>0</v>
      </c>
      <c r="E59" s="157">
        <f>'MODELO LAYOUT'!BN29</f>
        <v>0</v>
      </c>
    </row>
    <row r="60" spans="1:5" ht="12" customHeight="1" x14ac:dyDescent="0.15">
      <c r="A60" s="154">
        <f>'MODELO LAYOUT'!$BU$19</f>
        <v>210655</v>
      </c>
      <c r="B60" s="155">
        <f>'MODELO LAYOUT'!$BU$18</f>
        <v>550</v>
      </c>
      <c r="C60" s="155" t="str">
        <f>'MODELO LAYOUT'!BU22</f>
        <v xml:space="preserve">LACADA ALUMINAZADA PARA ÁGUILA </v>
      </c>
      <c r="D60" s="155" t="str">
        <f>'MODELO LAYOUT'!BU21</f>
        <v>SUXUN</v>
      </c>
      <c r="E60" s="157">
        <f>'MODELO LAYOUT'!BU9</f>
        <v>32</v>
      </c>
    </row>
    <row r="61" spans="1:5" ht="12" customHeight="1" x14ac:dyDescent="0.15">
      <c r="A61" s="154">
        <f>'MODELO LAYOUT'!$BV$19</f>
        <v>0</v>
      </c>
      <c r="B61" s="155">
        <f>'MODELO LAYOUT'!$BV$18</f>
        <v>0</v>
      </c>
      <c r="C61" s="155">
        <f>'MODELO LAYOUT'!BV22</f>
        <v>0</v>
      </c>
      <c r="D61" s="155">
        <f>'MODELO LAYOUT'!BV21</f>
        <v>0</v>
      </c>
      <c r="E61" s="157">
        <f>'MODELO LAYOUT'!BV9</f>
        <v>33</v>
      </c>
    </row>
    <row r="62" spans="1:5" ht="12" customHeight="1" x14ac:dyDescent="0.15">
      <c r="A62" s="154">
        <f>'MODELO LAYOUT'!$BW$19</f>
        <v>0</v>
      </c>
      <c r="B62" s="155">
        <f>'MODELO LAYOUT'!$BW$18</f>
        <v>0</v>
      </c>
      <c r="C62" s="155">
        <f>'MODELO LAYOUT'!BW22</f>
        <v>0</v>
      </c>
      <c r="D62" s="155">
        <f>'MODELO LAYOUT'!BW21</f>
        <v>0</v>
      </c>
      <c r="E62" s="157">
        <f>'MODELO LAYOUT'!BW9</f>
        <v>34</v>
      </c>
    </row>
    <row r="63" spans="1:5" ht="12" customHeight="1" x14ac:dyDescent="0.15">
      <c r="A63" s="154">
        <f>'MODELO LAYOUT'!$BX$19</f>
        <v>213677</v>
      </c>
      <c r="B63" s="155">
        <f>'MODELO LAYOUT'!$BX$18</f>
        <v>16662</v>
      </c>
      <c r="C63" s="155" t="str">
        <f>'MODELO LAYOUT'!BX22</f>
        <v>BASE DORADA</v>
      </c>
      <c r="D63" s="155" t="str">
        <f>'MODELO LAYOUT'!BX21</f>
        <v>SUXUN</v>
      </c>
      <c r="E63" s="157">
        <f>'MODELO LAYOUT'!BX9</f>
        <v>35</v>
      </c>
    </row>
    <row r="64" spans="1:5" ht="12" customHeight="1" x14ac:dyDescent="0.15">
      <c r="A64" s="154">
        <f>'MODELO LAYOUT'!$BY$19</f>
        <v>0</v>
      </c>
      <c r="B64" s="155">
        <f>'MODELO LAYOUT'!$BY$18</f>
        <v>0</v>
      </c>
      <c r="C64" s="155">
        <f>'MODELO LAYOUT'!BY22</f>
        <v>0</v>
      </c>
      <c r="D64" s="155">
        <f>'MODELO LAYOUT'!BY21</f>
        <v>0</v>
      </c>
      <c r="E64" s="157">
        <f>'MODELO LAYOUT'!BY9</f>
        <v>36</v>
      </c>
    </row>
    <row r="65" spans="1:54" ht="12" customHeight="1" x14ac:dyDescent="0.15">
      <c r="A65" s="154">
        <f>'MODELO LAYOUT'!$BU$25</f>
        <v>0</v>
      </c>
      <c r="B65" s="155">
        <f>'MODELO LAYOUT'!$BU$24</f>
        <v>0</v>
      </c>
      <c r="C65" s="155">
        <f>'MODELO LAYOUT'!BU28</f>
        <v>0</v>
      </c>
      <c r="D65" s="155">
        <f>'MODELO LAYOUT'!BU27</f>
        <v>0</v>
      </c>
      <c r="E65" s="157">
        <f>'MODELO LAYOUT'!BU29</f>
        <v>0</v>
      </c>
    </row>
    <row r="66" spans="1:54" ht="12" customHeight="1" x14ac:dyDescent="0.15">
      <c r="A66" s="154">
        <f>'MODELO LAYOUT'!$BV$25</f>
        <v>0</v>
      </c>
      <c r="B66" s="155">
        <f>'MODELO LAYOUT'!$BV$24</f>
        <v>0</v>
      </c>
      <c r="C66" s="155">
        <f>'MODELO LAYOUT'!BV28</f>
        <v>0</v>
      </c>
      <c r="D66" s="155">
        <f>'MODELO LAYOUT'!BV27</f>
        <v>0</v>
      </c>
      <c r="E66" s="157">
        <f>'MODELO LAYOUT'!BV29</f>
        <v>0</v>
      </c>
    </row>
    <row r="67" spans="1:54" ht="12" customHeight="1" x14ac:dyDescent="0.15">
      <c r="A67" s="154">
        <f>'MODELO LAYOUT'!$BW$25</f>
        <v>0</v>
      </c>
      <c r="B67" s="155">
        <f>'MODELO LAYOUT'!$BW$24</f>
        <v>0</v>
      </c>
      <c r="C67" s="155">
        <f>'MODELO LAYOUT'!BW28</f>
        <v>0</v>
      </c>
      <c r="D67" s="155">
        <f>'MODELO LAYOUT'!BW27</f>
        <v>0</v>
      </c>
      <c r="E67" s="157">
        <f>'MODELO LAYOUT'!BW29</f>
        <v>0</v>
      </c>
    </row>
    <row r="68" spans="1:54" ht="12" customHeight="1" x14ac:dyDescent="0.15">
      <c r="A68" s="154">
        <f>'MODELO LAYOUT'!$BX$25</f>
        <v>0</v>
      </c>
      <c r="B68" s="155">
        <f>'MODELO LAYOUT'!$BX$24</f>
        <v>0</v>
      </c>
      <c r="C68" s="155">
        <f>'MODELO LAYOUT'!BX28</f>
        <v>0</v>
      </c>
      <c r="D68" s="155">
        <f>'MODELO LAYOUT'!BX27</f>
        <v>0</v>
      </c>
      <c r="E68" s="157">
        <f>'MODELO LAYOUT'!BX29</f>
        <v>0</v>
      </c>
    </row>
    <row r="69" spans="1:54" ht="12" customHeight="1" x14ac:dyDescent="0.15">
      <c r="A69" s="154">
        <f>'MODELO LAYOUT'!$BY$25</f>
        <v>212037</v>
      </c>
      <c r="B69" s="155">
        <f>'MODELO LAYOUT'!$BY$24</f>
        <v>725</v>
      </c>
      <c r="C69" s="155" t="str">
        <f>'MODELO LAYOUT'!BY28</f>
        <v>TEST CON AMARILLOS</v>
      </c>
      <c r="D69" s="155" t="str">
        <f>'MODELO LAYOUT'!BY27</f>
        <v>SUXUN</v>
      </c>
      <c r="E69" s="157">
        <f>'MODELO LAYOUT'!BY29</f>
        <v>0</v>
      </c>
    </row>
    <row r="70" spans="1:54" ht="12" customHeight="1" x14ac:dyDescent="0.15">
      <c r="A70" s="154">
        <f>'MODELO LAYOUT'!$BQ$32</f>
        <v>0</v>
      </c>
      <c r="B70" s="155">
        <f>'MODELO LAYOUT'!$BQ$31</f>
        <v>0</v>
      </c>
      <c r="C70" s="155">
        <f>'MODELO LAYOUT'!BQ35</f>
        <v>0</v>
      </c>
      <c r="D70" s="155">
        <f>'MODELO LAYOUT'!BQ34</f>
        <v>0</v>
      </c>
      <c r="E70" s="157">
        <f>'MODELO LAYOUT'!BQ30</f>
        <v>0</v>
      </c>
    </row>
    <row r="71" spans="1:54" ht="12" customHeight="1" x14ac:dyDescent="0.15">
      <c r="A71" s="154">
        <f>'MODELO LAYOUT'!$BR$32</f>
        <v>0</v>
      </c>
      <c r="B71" s="155">
        <f>'MODELO LAYOUT'!$BR$31</f>
        <v>0</v>
      </c>
      <c r="C71" s="155">
        <f>'MODELO LAYOUT'!BR35</f>
        <v>0</v>
      </c>
      <c r="D71" s="155">
        <f>'MODELO LAYOUT'!BR34</f>
        <v>0</v>
      </c>
      <c r="E71" s="157">
        <f>'MODELO LAYOUT'!BR30</f>
        <v>0</v>
      </c>
    </row>
    <row r="72" spans="1:54" ht="12" customHeight="1" x14ac:dyDescent="0.15">
      <c r="A72" s="154">
        <f>'MODELO LAYOUT'!$BS$32</f>
        <v>0</v>
      </c>
      <c r="B72" s="155">
        <f>'MODELO LAYOUT'!$BS$31</f>
        <v>0</v>
      </c>
      <c r="C72" s="155">
        <f>'MODELO LAYOUT'!BS35</f>
        <v>0</v>
      </c>
      <c r="D72" s="155">
        <f>'MODELO LAYOUT'!BS34</f>
        <v>0</v>
      </c>
      <c r="E72" s="157">
        <f>'MODELO LAYOUT'!BS30</f>
        <v>0</v>
      </c>
    </row>
    <row r="73" spans="1:54" ht="12" customHeight="1" x14ac:dyDescent="0.15">
      <c r="A73" s="154">
        <f>'MODELO LAYOUT'!$BT$32</f>
        <v>211209</v>
      </c>
      <c r="B73" s="155">
        <f>'MODELO LAYOUT'!$BT$31</f>
        <v>218</v>
      </c>
      <c r="C73" s="155" t="str">
        <f>'MODELO LAYOUT'!BT35</f>
        <v>LACA + BASE BLANCA RASELSTEIN</v>
      </c>
      <c r="D73" s="155" t="str">
        <f>'MODELO LAYOUT'!BT34</f>
        <v>STEEL FORCE</v>
      </c>
      <c r="E73" s="157">
        <f>'MODELO LAYOUT'!BT30</f>
        <v>0</v>
      </c>
    </row>
    <row r="74" spans="1:54" ht="12" customHeight="1" x14ac:dyDescent="0.15">
      <c r="A74" s="154">
        <f>'MODELO LAYOUT'!$BU$32</f>
        <v>206454</v>
      </c>
      <c r="B74" s="155">
        <f>'MODELO LAYOUT'!$BU$31</f>
        <v>452</v>
      </c>
      <c r="C74" s="155" t="str">
        <f>'MODELO LAYOUT'!BU35</f>
        <v>LACA + BASE BLANCA RASELSTEIN</v>
      </c>
      <c r="D74" s="155" t="str">
        <f>'MODELO LAYOUT'!BU34</f>
        <v>STEEL FORCE</v>
      </c>
      <c r="E74" s="157">
        <f>'MODELO LAYOUT'!BU30</f>
        <v>0</v>
      </c>
    </row>
    <row r="75" spans="1:54" ht="12" customHeight="1" x14ac:dyDescent="0.15">
      <c r="A75" s="154">
        <f>'MODELO LAYOUT'!$BV$32</f>
        <v>206453</v>
      </c>
      <c r="B75" s="155">
        <f>'MODELO LAYOUT'!$BV$31</f>
        <v>1176</v>
      </c>
      <c r="C75" s="155" t="str">
        <f>'MODELO LAYOUT'!BV35</f>
        <v>LACA 0.17</v>
      </c>
      <c r="D75" s="155" t="str">
        <f>'MODELO LAYOUT'!BV34</f>
        <v>RASSELSTEIN</v>
      </c>
      <c r="E75" s="157">
        <f>'MODELO LAYOUT'!BV30</f>
        <v>0</v>
      </c>
    </row>
    <row r="76" spans="1:54" ht="12" customHeight="1" x14ac:dyDescent="0.15">
      <c r="A76" s="154">
        <f>'MODELO LAYOUT'!$BW$32</f>
        <v>207544</v>
      </c>
      <c r="B76" s="155">
        <f>'MODELO LAYOUT'!$BW$31</f>
        <v>4207</v>
      </c>
      <c r="C76" s="155" t="str">
        <f>'MODELO LAYOUT'!BW35</f>
        <v>LACADA + SIZING</v>
      </c>
      <c r="D76" s="155" t="str">
        <f>'MODELO LAYOUT'!BW34</f>
        <v>NIPÓN</v>
      </c>
      <c r="E76" s="157">
        <f>'MODELO LAYOUT'!BW30</f>
        <v>0</v>
      </c>
    </row>
    <row r="77" spans="1:54" ht="12" customHeight="1" x14ac:dyDescent="0.15">
      <c r="A77" s="154">
        <f>'MODELO LAYOUT'!$BX$32</f>
        <v>206455</v>
      </c>
      <c r="B77" s="155">
        <f>'MODELO LAYOUT'!$BX$31</f>
        <v>6127</v>
      </c>
      <c r="C77" s="155" t="str">
        <f>'MODELO LAYOUT'!BX35</f>
        <v>0.17 LACADA +SIZING</v>
      </c>
      <c r="D77" s="155" t="str">
        <f>'MODELO LAYOUT'!BX34</f>
        <v xml:space="preserve">RASSELSTEIN </v>
      </c>
      <c r="E77" s="157">
        <f>'MODELO LAYOUT'!BX30</f>
        <v>0</v>
      </c>
    </row>
    <row r="78" spans="1:54" ht="12" customHeight="1" x14ac:dyDescent="0.15">
      <c r="A78" s="154">
        <f>'MODELO LAYOUT'!$BY$32</f>
        <v>210654</v>
      </c>
      <c r="B78" s="155">
        <f>'MODELO LAYOUT'!$BY$31</f>
        <v>9553</v>
      </c>
      <c r="C78" s="155" t="str">
        <f>'MODELO LAYOUT'!BY35</f>
        <v>OXIDADA</v>
      </c>
      <c r="D78" s="155" t="str">
        <f>'MODELO LAYOUT'!BY34</f>
        <v>JINTAI</v>
      </c>
      <c r="E78" s="157">
        <f>'MODELO LAYOUT'!BY30</f>
        <v>0</v>
      </c>
    </row>
    <row r="79" spans="1:54" ht="12" customHeight="1" x14ac:dyDescent="0.15">
      <c r="A79" s="158">
        <f>'MODELO LAYOUT'!$BW$47</f>
        <v>210655</v>
      </c>
      <c r="B79" s="155">
        <f>'MODELO LAYOUT'!$BZ$47</f>
        <v>1700</v>
      </c>
      <c r="C79" s="159" t="str">
        <f>'MODELO LAYOUT'!BX47</f>
        <v>LAMINA GEN LACADA SIZING TIPO D 0,195</v>
      </c>
      <c r="D79" s="155" t="str">
        <f>'MODELO LAYOUT'!BZ59</f>
        <v>N/A</v>
      </c>
      <c r="E79" s="157" t="str">
        <f>'MODELO LAYOUT'!BV47</f>
        <v>DEFECTOS</v>
      </c>
      <c r="BB79" s="153" t="e" cm="1" vm="1">
        <f t="array" aca="1" ref="BB79" ca="1">+((169*11000)/667)+DATA!A:B</f>
        <v>#VALUE!</v>
      </c>
    </row>
    <row r="80" spans="1:54" ht="12" customHeight="1" x14ac:dyDescent="0.15">
      <c r="A80" s="158">
        <f>'MODELO LAYOUT'!$BW$48</f>
        <v>212403</v>
      </c>
      <c r="B80" s="155">
        <f>'MODELO LAYOUT'!$BZ$48</f>
        <v>313</v>
      </c>
      <c r="C80" s="159" t="str">
        <f>'MODELO LAYOUT'!BX48</f>
        <v xml:space="preserve">LAMINA COSTEÑA BACANA 2000 TP D 0.195 </v>
      </c>
      <c r="D80" s="155" t="str">
        <f>'MODELO LAYOUT'!BZ59</f>
        <v>N/A</v>
      </c>
      <c r="E80" s="157" t="str">
        <f>'MODELO LAYOUT'!BV48</f>
        <v>DEFECTOS</v>
      </c>
    </row>
    <row r="81" spans="1:5" ht="12" customHeight="1" x14ac:dyDescent="0.15">
      <c r="A81" s="158">
        <f>'MODELO LAYOUT'!$BW$49</f>
        <v>212127</v>
      </c>
      <c r="B81" s="155">
        <f>'MODELO LAYOUT'!$BZ$49</f>
        <v>887</v>
      </c>
      <c r="C81" s="159" t="str">
        <f>'MODELO LAYOUT'!BX49</f>
        <v xml:space="preserve">LAMINA YO ME CUIDO PERU ST TIPO D 0.195 </v>
      </c>
      <c r="D81" s="155" t="str">
        <f>'MODELO LAYOUT'!BZ59</f>
        <v>N/A</v>
      </c>
      <c r="E81" s="157" t="str">
        <f>'MODELO LAYOUT'!BV49</f>
        <v>DEFECTOS</v>
      </c>
    </row>
    <row r="82" spans="1:5" ht="12" customHeight="1" x14ac:dyDescent="0.15">
      <c r="A82" s="158">
        <f>'MODELO LAYOUT'!$BW$50</f>
        <v>212127</v>
      </c>
      <c r="B82" s="155">
        <f>'MODELO LAYOUT'!$BZ$50</f>
        <v>1216</v>
      </c>
      <c r="C82" s="159" t="str">
        <f>'MODELO LAYOUT'!BX50</f>
        <v xml:space="preserve">LAMINA YO ME CUIDO PERU ST TIPO D 0.195 </v>
      </c>
      <c r="D82" s="155" t="str">
        <f>'MODELO LAYOUT'!BZ59</f>
        <v>N/A</v>
      </c>
      <c r="E82" s="157" t="str">
        <f>'MODELO LAYOUT'!BV50</f>
        <v>DEFECTOS</v>
      </c>
    </row>
    <row r="83" spans="1:5" ht="12" customHeight="1" x14ac:dyDescent="0.15">
      <c r="A83" s="158">
        <f>'MODELO LAYOUT'!$BW$51</f>
        <v>213637</v>
      </c>
      <c r="B83" s="155">
        <f>'MODELO LAYOUT'!$BZ$51</f>
        <v>733</v>
      </c>
      <c r="C83" s="159" t="str">
        <f>'MODELO LAYOUT'!BX51</f>
        <v>LAMINA AGUILA LGT PROMO ALFA TIP D 0.195</v>
      </c>
      <c r="D83" s="155" t="str">
        <f>'MODELO LAYOUT'!BZ59</f>
        <v>N/A</v>
      </c>
      <c r="E83" s="157" t="str">
        <f>'MODELO LAYOUT'!BV51</f>
        <v>DEFECTOS</v>
      </c>
    </row>
    <row r="84" spans="1:5" ht="12" customHeight="1" x14ac:dyDescent="0.15">
      <c r="A84" s="158">
        <f>'MODELO LAYOUT'!$BW$52</f>
        <v>210655</v>
      </c>
      <c r="B84" s="155">
        <f>'MODELO LAYOUT'!$BZ$52</f>
        <v>540</v>
      </c>
      <c r="C84" s="159" t="str">
        <f>'MODELO LAYOUT'!BX52</f>
        <v>LAMINA GEN LACADA SIZING TIPO D 0,195</v>
      </c>
      <c r="D84" s="155" t="str">
        <f>'MODELO LAYOUT'!BZ59</f>
        <v>N/A</v>
      </c>
      <c r="E84" s="157" t="str">
        <f>'MODELO LAYOUT'!BV52</f>
        <v>DEFECTOS</v>
      </c>
    </row>
    <row r="85" spans="1:5" ht="12" customHeight="1" x14ac:dyDescent="0.15">
      <c r="A85" s="158">
        <f>'MODELO LAYOUT'!$BW$53</f>
        <v>213637</v>
      </c>
      <c r="B85" s="155">
        <f>'MODELO LAYOUT'!$BZ$53</f>
        <v>1181</v>
      </c>
      <c r="C85" s="159" t="str">
        <f>'MODELO LAYOUT'!BX53</f>
        <v>LAMINA AGUILA LGT PROMO ALFA TIP D 0.195</v>
      </c>
      <c r="D85" s="155" t="str">
        <f>'MODELO LAYOUT'!BZ59</f>
        <v>N/A</v>
      </c>
      <c r="E85" s="157" t="str">
        <f>'MODELO LAYOUT'!BV53</f>
        <v>DEFECTOS</v>
      </c>
    </row>
    <row r="86" spans="1:5" ht="12" customHeight="1" x14ac:dyDescent="0.15">
      <c r="A86" s="158">
        <f>'MODELO LAYOUT'!$BW$54</f>
        <v>213637</v>
      </c>
      <c r="B86" s="155">
        <f>'MODELO LAYOUT'!$BZ$54</f>
        <v>690</v>
      </c>
      <c r="C86" s="159" t="str">
        <f>'MODELO LAYOUT'!BX54</f>
        <v>LAMINA AGUILA LGT PROMO ALFA TIP D 0.195</v>
      </c>
      <c r="D86" s="155" t="str">
        <f>'MODELO LAYOUT'!BZ59</f>
        <v>N/A</v>
      </c>
      <c r="E86" s="157" t="str">
        <f>'MODELO LAYOUT'!BV54</f>
        <v>DEFECTOS</v>
      </c>
    </row>
    <row r="87" spans="1:5" ht="12" customHeight="1" x14ac:dyDescent="0.15">
      <c r="A87" s="158">
        <f>'MODELO LAYOUT'!$BW$55</f>
        <v>213738</v>
      </c>
      <c r="B87" s="155">
        <f>'MODELO LAYOUT'!$BZ$55</f>
        <v>1460</v>
      </c>
      <c r="C87" s="159" t="str">
        <f>'MODELO LAYOUT'!BX55</f>
        <v>LAMINA POKER RENOVACION</v>
      </c>
      <c r="D87" s="155" t="str">
        <f>'MODELO LAYOUT'!BZ59</f>
        <v>N/A</v>
      </c>
      <c r="E87" s="157" t="str">
        <f>'MODELO LAYOUT'!BV55</f>
        <v>DEFECTOS</v>
      </c>
    </row>
    <row r="88" spans="1:5" ht="12" customHeight="1" x14ac:dyDescent="0.15">
      <c r="A88" s="154">
        <f>'MODELO LAYOUT'!$AS$55</f>
        <v>0</v>
      </c>
      <c r="B88" s="155">
        <f>'MODELO LAYOUT'!$AS$54</f>
        <v>0</v>
      </c>
      <c r="C88" s="155" t="str">
        <f>'MODELO LAYOUT'!AS56</f>
        <v xml:space="preserve"> </v>
      </c>
      <c r="D88" s="155">
        <f>'MODELO LAYOUT'!AS57</f>
        <v>0</v>
      </c>
      <c r="E88" s="157">
        <f>'MODELO LAYOUT'!AS46</f>
        <v>20</v>
      </c>
    </row>
    <row r="89" spans="1:5" ht="12" customHeight="1" x14ac:dyDescent="0.15">
      <c r="A89" s="154">
        <f>'MODELO LAYOUT'!$AT$55</f>
        <v>0</v>
      </c>
      <c r="B89" s="155">
        <f>'MODELO LAYOUT'!$AT$54</f>
        <v>0</v>
      </c>
      <c r="C89" s="155" t="str">
        <f>'MODELO LAYOUT'!AT56</f>
        <v xml:space="preserve"> </v>
      </c>
      <c r="D89" s="155">
        <f>'MODELO LAYOUT'!AT57</f>
        <v>0</v>
      </c>
      <c r="E89" s="157">
        <f>'MODELO LAYOUT'!AT46</f>
        <v>19</v>
      </c>
    </row>
    <row r="90" spans="1:5" ht="12" customHeight="1" x14ac:dyDescent="0.15">
      <c r="A90" s="154">
        <f>'MODELO LAYOUT'!$AU$55</f>
        <v>207301</v>
      </c>
      <c r="B90" s="155">
        <f>'MODELO LAYOUT'!$AU$54</f>
        <v>7348</v>
      </c>
      <c r="C90" s="155" t="str">
        <f>'MODELO LAYOUT'!AU56</f>
        <v>LAMINA COSTEÑITA TIPO D</v>
      </c>
      <c r="D90" s="155" t="str">
        <f>'MODELO LAYOUT'!AU57</f>
        <v>N/A</v>
      </c>
      <c r="E90" s="157">
        <f>'MODELO LAYOUT'!AU46</f>
        <v>18</v>
      </c>
    </row>
    <row r="91" spans="1:5" ht="12" customHeight="1" x14ac:dyDescent="0.15">
      <c r="A91" s="154">
        <f>'MODELO LAYOUT'!$AV$55</f>
        <v>212604</v>
      </c>
      <c r="B91" s="155">
        <f>'MODELO LAYOUT'!$AV$54</f>
        <v>2413</v>
      </c>
      <c r="C91" s="155" t="str">
        <f>'MODELO LAYOUT'!AV56</f>
        <v>LAMINA COSTEÑA ROJA TIPO D0.195</v>
      </c>
      <c r="D91" s="155" t="str">
        <f>'MODELO LAYOUT'!AV57</f>
        <v>JINTAI</v>
      </c>
      <c r="E91" s="157">
        <f>'MODELO LAYOUT'!AV46</f>
        <v>17</v>
      </c>
    </row>
    <row r="92" spans="1:5" ht="12" customHeight="1" x14ac:dyDescent="0.15">
      <c r="A92" s="154">
        <f>'MODELO LAYOUT'!$AS$61</f>
        <v>206458</v>
      </c>
      <c r="B92" s="155">
        <f>'MODELO LAYOUT'!$AS$60</f>
        <v>4693</v>
      </c>
      <c r="C92" s="155" t="str">
        <f>'MODELO LAYOUT'!AS62</f>
        <v>LAMINA CLUB PREMIUM RET TIPO D 0,17 ECU</v>
      </c>
      <c r="D92" s="155" t="str">
        <f>'MODELO LAYOUT'!AS63</f>
        <v>N/A</v>
      </c>
      <c r="E92" s="157">
        <f>'MODELO LAYOUT'!AS59</f>
        <v>23</v>
      </c>
    </row>
    <row r="93" spans="1:5" ht="12" customHeight="1" x14ac:dyDescent="0.15">
      <c r="A93" s="154">
        <f>'MODELO LAYOUT'!$AT$61</f>
        <v>210760</v>
      </c>
      <c r="B93" s="155">
        <f>'MODELO LAYOUT'!$AT$60</f>
        <v>4760</v>
      </c>
      <c r="C93" s="155" t="str">
        <f>'MODELO LAYOUT'!AT62</f>
        <v xml:space="preserve">LAMINA AGUILA AZUL TIPO D 0.195 </v>
      </c>
      <c r="D93" s="155" t="str">
        <f>'MODELO LAYOUT'!AT63</f>
        <v>SUXUN</v>
      </c>
      <c r="E93" s="157">
        <f>'MODELO LAYOUT'!AT59</f>
        <v>21</v>
      </c>
    </row>
    <row r="94" spans="1:5" ht="12" customHeight="1" x14ac:dyDescent="0.15">
      <c r="A94" s="154">
        <f>'MODELO LAYOUT'!$AU$61</f>
        <v>213637</v>
      </c>
      <c r="B94" s="155">
        <f>'MODELO LAYOUT'!$AU$60</f>
        <v>1037</v>
      </c>
      <c r="C94" s="155" t="str">
        <f>'MODELO LAYOUT'!AU62</f>
        <v>LAMINA AGUILA LGT PROMO ALFA TIP D 0.195</v>
      </c>
      <c r="D94" s="155" t="str">
        <f>'MODELO LAYOUT'!AU63</f>
        <v>SUXUN</v>
      </c>
      <c r="E94" s="157">
        <f>'MODELO LAYOUT'!AU59</f>
        <v>20</v>
      </c>
    </row>
    <row r="95" spans="1:5" ht="12" customHeight="1" x14ac:dyDescent="0.15">
      <c r="A95" s="154">
        <f>'MODELO LAYOUT'!$AV$61</f>
        <v>213367</v>
      </c>
      <c r="B95" s="155">
        <f>'MODELO LAYOUT'!$AV$60</f>
        <v>520</v>
      </c>
      <c r="C95" s="155" t="str">
        <f>'MODELO LAYOUT'!AV62</f>
        <v>LAMINA CLUB PREMIUM TW ECUADOR D0.195</v>
      </c>
      <c r="D95" s="155" t="str">
        <f>'MODELO LAYOUT'!AV63</f>
        <v>SUXUN</v>
      </c>
      <c r="E95" s="157">
        <f>'MODELO LAYOUT'!AV59</f>
        <v>19</v>
      </c>
    </row>
    <row r="96" spans="1:5" ht="12" customHeight="1" x14ac:dyDescent="0.15">
      <c r="A96" s="158">
        <f>'MODELO LAYOUT'!$AX$47</f>
        <v>206890</v>
      </c>
      <c r="B96" s="159">
        <f>'MODELO LAYOUT'!$AZ$47</f>
        <v>1692</v>
      </c>
      <c r="C96" s="159" t="str">
        <f>'MODELO LAYOUT'!AY47</f>
        <v>LAMINA PONY MALTA TW</v>
      </c>
      <c r="D96" s="155" t="str">
        <f>'MODELO LAYOUT'!BZ59</f>
        <v>N/A</v>
      </c>
      <c r="E96" s="156" t="str">
        <f>'MODELO LAYOUT'!AX46</f>
        <v>M-M</v>
      </c>
    </row>
    <row r="97" spans="1:5" ht="12" customHeight="1" x14ac:dyDescent="0.15">
      <c r="A97" s="158">
        <f>'MODELO LAYOUT'!$AX$48</f>
        <v>210128</v>
      </c>
      <c r="B97" s="159">
        <f>'MODELO LAYOUT'!$AZ$48</f>
        <v>1630</v>
      </c>
      <c r="C97" s="159" t="str">
        <f>'MODELO LAYOUT'!AY48</f>
        <v xml:space="preserve">LAMINA POKER BBC PURAMALTA TIPO D 0.17 </v>
      </c>
      <c r="D97" s="155" t="str">
        <f>'MODELO LAYOUT'!BZ59</f>
        <v>N/A</v>
      </c>
      <c r="E97" s="156" t="str">
        <f>'MODELO LAYOUT'!AX46</f>
        <v>M-M</v>
      </c>
    </row>
    <row r="98" spans="1:5" ht="12" customHeight="1" x14ac:dyDescent="0.15">
      <c r="A98" s="158">
        <f>'MODELO LAYOUT'!$AX$49</f>
        <v>209962</v>
      </c>
      <c r="B98" s="159">
        <f>'MODELO LAYOUT'!$AZ$49</f>
        <v>500</v>
      </c>
      <c r="C98" s="159" t="str">
        <f>'MODELO LAYOUT'!AY49</f>
        <v xml:space="preserve">LAMINA PACIFICO  PERU </v>
      </c>
      <c r="D98" s="155" t="str">
        <f>'MODELO LAYOUT'!BZ59</f>
        <v>N/A</v>
      </c>
      <c r="E98" s="156" t="str">
        <f>'MODELO LAYOUT'!AX46</f>
        <v>M-M</v>
      </c>
    </row>
    <row r="99" spans="1:5" ht="12" customHeight="1" x14ac:dyDescent="0.15">
      <c r="A99" s="158">
        <f>'MODELO LAYOUT'!$AX$50</f>
        <v>204388</v>
      </c>
      <c r="B99" s="159">
        <f>'MODELO LAYOUT'!$AZ$50</f>
        <v>43</v>
      </c>
      <c r="C99" s="159" t="str">
        <f>'MODELO LAYOUT'!AY50</f>
        <v>LAMINA REDDS TIPO D LG FASE II</v>
      </c>
      <c r="D99" s="155" t="str">
        <f>'MODELO LAYOUT'!BZ59</f>
        <v>N/A</v>
      </c>
      <c r="E99" s="156" t="str">
        <f>'MODELO LAYOUT'!AX46</f>
        <v>M-M</v>
      </c>
    </row>
    <row r="100" spans="1:5" ht="12" customHeight="1" x14ac:dyDescent="0.15">
      <c r="A100" s="158">
        <f>'MODELO LAYOUT'!$AX$51</f>
        <v>202737</v>
      </c>
      <c r="B100" s="159">
        <f>'MODELO LAYOUT'!$AZ$51</f>
        <v>2854</v>
      </c>
      <c r="C100" s="159" t="str">
        <f>'MODELO LAYOUT'!AY51</f>
        <v>LAMINA POKER 330/750R TIPO A LG</v>
      </c>
      <c r="D100" s="155" t="str">
        <f>'MODELO LAYOUT'!BZ59</f>
        <v>N/A</v>
      </c>
      <c r="E100" s="156" t="str">
        <f>'MODELO LAYOUT'!AX46</f>
        <v>M-M</v>
      </c>
    </row>
    <row r="101" spans="1:5" ht="12" customHeight="1" x14ac:dyDescent="0.15">
      <c r="A101" s="158">
        <f>'MODELO LAYOUT'!$AX$52</f>
        <v>210761</v>
      </c>
      <c r="B101" s="159">
        <f>'MODELO LAYOUT'!$AZ$52</f>
        <v>886</v>
      </c>
      <c r="C101" s="159" t="str">
        <f>'MODELO LAYOUT'!AY52</f>
        <v xml:space="preserve">LAMINA POKER ROJA TIPO D 0.195 </v>
      </c>
      <c r="D101" s="155" t="str">
        <f>'MODELO LAYOUT'!BZ59</f>
        <v>N/A</v>
      </c>
      <c r="E101" s="156" t="str">
        <f>'MODELO LAYOUT'!AX46</f>
        <v>M-M</v>
      </c>
    </row>
    <row r="102" spans="1:5" ht="12" customHeight="1" x14ac:dyDescent="0.15">
      <c r="A102" s="158">
        <f>'MODELO LAYOUT'!$AX$53</f>
        <v>213364</v>
      </c>
      <c r="B102" s="159">
        <f>'MODELO LAYOUT'!$AZ$53</f>
        <v>1404</v>
      </c>
      <c r="C102" s="159" t="str">
        <f>'MODELO LAYOUT'!AY53</f>
        <v>LAMINA PILSENER ECUADOR TW TIPO D 0.195</v>
      </c>
      <c r="D102" s="155" t="str">
        <f>'MODELO LAYOUT'!BZ59</f>
        <v>N/A</v>
      </c>
      <c r="E102" s="156" t="str">
        <f>'MODELO LAYOUT'!AX46</f>
        <v>M-M</v>
      </c>
    </row>
    <row r="103" spans="1:5" ht="12" customHeight="1" x14ac:dyDescent="0.15">
      <c r="A103" s="158">
        <f>'MODELO LAYOUT'!$AX$54</f>
        <v>213246</v>
      </c>
      <c r="B103" s="159">
        <f>'MODELO LAYOUT'!$AZ$54</f>
        <v>1468</v>
      </c>
      <c r="C103" s="159" t="str">
        <f>'MODELO LAYOUT'!AY54</f>
        <v>LAMINA CLUB PREMIUM CLASICA TIPO D 0.195</v>
      </c>
      <c r="D103" s="155" t="str">
        <f>'MODELO LAYOUT'!BZ59</f>
        <v>N/A</v>
      </c>
      <c r="E103" s="156" t="str">
        <f>'MODELO LAYOUT'!AX46</f>
        <v>M-M</v>
      </c>
    </row>
    <row r="104" spans="1:5" ht="12" customHeight="1" x14ac:dyDescent="0.15">
      <c r="A104" s="158">
        <f>'MODELO LAYOUT'!$AX$55</f>
        <v>211217</v>
      </c>
      <c r="B104" s="159">
        <f>'MODELO LAYOUT'!$AZ$55</f>
        <v>1728</v>
      </c>
      <c r="C104" s="159" t="str">
        <f>'MODELO LAYOUT'!AY55</f>
        <v>LAMINA BUDWEISER TW TIPO D 0.195</v>
      </c>
      <c r="D104" s="155" t="str">
        <f>'MODELO LAYOUT'!BZ59</f>
        <v>N/A</v>
      </c>
      <c r="E104" s="156" t="str">
        <f>'MODELO LAYOUT'!AX46</f>
        <v>M-M</v>
      </c>
    </row>
    <row r="105" spans="1:5" ht="12" customHeight="1" x14ac:dyDescent="0.15">
      <c r="A105" s="158">
        <f>'MODELO LAYOUT'!$AX$56</f>
        <v>208477</v>
      </c>
      <c r="B105" s="159">
        <f>'MODELO LAYOUT'!$AZ$56</f>
        <v>1977</v>
      </c>
      <c r="C105" s="159" t="str">
        <f>'MODELO LAYOUT'!AY56</f>
        <v>LAMINA POKER ROJA RET LG TIPO D 0,17</v>
      </c>
      <c r="D105" s="155" t="str">
        <f>'MODELO LAYOUT'!BZ59</f>
        <v>N/A</v>
      </c>
      <c r="E105" s="156" t="str">
        <f>'MODELO LAYOUT'!AX46</f>
        <v>M-M</v>
      </c>
    </row>
    <row r="106" spans="1:5" ht="12" customHeight="1" x14ac:dyDescent="0.15">
      <c r="A106" s="158">
        <f>'MODELO LAYOUT'!$AX$57</f>
        <v>212019</v>
      </c>
      <c r="B106" s="159">
        <f>'MODELO LAYOUT'!$AZ$57</f>
        <v>1349</v>
      </c>
      <c r="C106" s="159" t="str">
        <f>'MODELO LAYOUT'!AY57</f>
        <v>LAMINA TIPO D 0.195 CLUB COLOM NEW VBI</v>
      </c>
      <c r="D106" s="155" t="str">
        <f>'MODELO LAYOUT'!BZ59</f>
        <v>N/A</v>
      </c>
      <c r="E106" s="156" t="str">
        <f>'MODELO LAYOUT'!AX46</f>
        <v>M-M</v>
      </c>
    </row>
    <row r="107" spans="1:5" ht="12" customHeight="1" x14ac:dyDescent="0.15">
      <c r="A107" s="158">
        <f>'MODELO LAYOUT'!$AX$58</f>
        <v>213352</v>
      </c>
      <c r="B107" s="159">
        <f>'MODELO LAYOUT'!$AZ$58</f>
        <v>1519</v>
      </c>
      <c r="C107" s="159" t="str">
        <f>'MODELO LAYOUT'!AY58</f>
        <v>LAMINA NUTRI MALTA D 0.195</v>
      </c>
      <c r="D107" s="155" t="str">
        <f>'MODELO LAYOUT'!BZ59</f>
        <v>N/A</v>
      </c>
      <c r="E107" s="156" t="str">
        <f>'MODELO LAYOUT'!AX46</f>
        <v>M-M</v>
      </c>
    </row>
    <row r="108" spans="1:5" ht="12" customHeight="1" x14ac:dyDescent="0.15">
      <c r="A108" s="158">
        <f>'MODELO LAYOUT'!$AX$59</f>
        <v>213343</v>
      </c>
      <c r="B108" s="159">
        <f>'MODELO LAYOUT'!$AZ$59</f>
        <v>629</v>
      </c>
      <c r="C108" s="159" t="str">
        <f>'MODELO LAYOUT'!AY59</f>
        <v>LAMINA AGUILA EL CARIBE  D 0.195</v>
      </c>
      <c r="D108" s="155" t="str">
        <f>'MODELO LAYOUT'!BZ59</f>
        <v>N/A</v>
      </c>
      <c r="E108" s="156" t="str">
        <f>'MODELO LAYOUT'!AX46</f>
        <v>M-M</v>
      </c>
    </row>
    <row r="109" spans="1:5" ht="12" customHeight="1" x14ac:dyDescent="0.15">
      <c r="A109" s="154">
        <f>'MODELO LAYOUT'!$BC$55</f>
        <v>0</v>
      </c>
      <c r="B109" s="155">
        <f>'MODELO LAYOUT'!$BC$54</f>
        <v>0</v>
      </c>
      <c r="C109" s="155" t="str">
        <f>'MODELO LAYOUT'!BC56</f>
        <v xml:space="preserve"> </v>
      </c>
      <c r="D109" s="155">
        <f>'MODELO LAYOUT'!BC57</f>
        <v>0</v>
      </c>
      <c r="E109" s="157">
        <f>'MODELO LAYOUT'!BC46</f>
        <v>16</v>
      </c>
    </row>
    <row r="110" spans="1:5" ht="12" customHeight="1" x14ac:dyDescent="0.15">
      <c r="A110" s="154">
        <f>'MODELO LAYOUT'!$BD$55</f>
        <v>0</v>
      </c>
      <c r="B110" s="155">
        <f>'MODELO LAYOUT'!$BD$54</f>
        <v>0</v>
      </c>
      <c r="C110" s="155" t="str">
        <f>'MODELO LAYOUT'!BD56</f>
        <v xml:space="preserve"> </v>
      </c>
      <c r="D110" s="155">
        <f>'MODELO LAYOUT'!BD57</f>
        <v>0</v>
      </c>
      <c r="E110" s="157">
        <f>'MODELO LAYOUT'!BD46</f>
        <v>15</v>
      </c>
    </row>
    <row r="111" spans="1:5" ht="12" customHeight="1" x14ac:dyDescent="0.15">
      <c r="A111" s="154">
        <f>'MODELO LAYOUT'!$BE$55</f>
        <v>0</v>
      </c>
      <c r="B111" s="155">
        <f>'MODELO LAYOUT'!$BE$54</f>
        <v>0</v>
      </c>
      <c r="C111" s="155" t="str">
        <f>'MODELO LAYOUT'!BE56</f>
        <v xml:space="preserve"> </v>
      </c>
      <c r="D111" s="155">
        <f>'MODELO LAYOUT'!BE57</f>
        <v>0</v>
      </c>
      <c r="E111" s="157">
        <f>'MODELO LAYOUT'!BE46</f>
        <v>14</v>
      </c>
    </row>
    <row r="112" spans="1:5" ht="12" customHeight="1" x14ac:dyDescent="0.15">
      <c r="A112" s="154">
        <f>'MODELO LAYOUT'!$BC$61</f>
        <v>0</v>
      </c>
      <c r="B112" s="155">
        <f>'MODELO LAYOUT'!$BC$60</f>
        <v>0</v>
      </c>
      <c r="C112" s="155" t="str">
        <f>'MODELO LAYOUT'!BC62</f>
        <v xml:space="preserve"> </v>
      </c>
      <c r="D112" s="155">
        <f>'MODELO LAYOUT'!BC63</f>
        <v>0</v>
      </c>
      <c r="E112" s="157">
        <f>'MODELO LAYOUT'!BC59</f>
        <v>17</v>
      </c>
    </row>
    <row r="113" spans="1:5" ht="12" customHeight="1" x14ac:dyDescent="0.15">
      <c r="A113" s="154">
        <f>'MODELO LAYOUT'!$BD$61</f>
        <v>0</v>
      </c>
      <c r="B113" s="155">
        <f>'MODELO LAYOUT'!$BD$60</f>
        <v>0</v>
      </c>
      <c r="C113" s="155" t="str">
        <f>'MODELO LAYOUT'!BD62</f>
        <v xml:space="preserve"> </v>
      </c>
      <c r="D113" s="155">
        <f>'MODELO LAYOUT'!BD63</f>
        <v>0</v>
      </c>
      <c r="E113" s="157">
        <f>'MODELO LAYOUT'!BD59</f>
        <v>16</v>
      </c>
    </row>
    <row r="114" spans="1:5" ht="12" customHeight="1" x14ac:dyDescent="0.15">
      <c r="A114" s="154">
        <f>'MODELO LAYOUT'!$BE$61</f>
        <v>0</v>
      </c>
      <c r="B114" s="155">
        <f>'MODELO LAYOUT'!$BE$60</f>
        <v>0</v>
      </c>
      <c r="C114" s="155" t="str">
        <f>'MODELO LAYOUT'!BE62</f>
        <v xml:space="preserve"> </v>
      </c>
      <c r="D114" s="155">
        <f>'MODELO LAYOUT'!BE63</f>
        <v>0</v>
      </c>
      <c r="E114" s="157">
        <f>'MODELO LAYOUT'!BE59</f>
        <v>15</v>
      </c>
    </row>
    <row r="115" spans="1:5" ht="12" customHeight="1" x14ac:dyDescent="0.15">
      <c r="A115" s="154">
        <f>'MODELO LAYOUT'!$BG$55</f>
        <v>212127</v>
      </c>
      <c r="B115" s="155">
        <f>'MODELO LAYOUT'!$BG$54</f>
        <v>290</v>
      </c>
      <c r="C115" s="155" t="str">
        <f>'MODELO LAYOUT'!BG56</f>
        <v xml:space="preserve">LAMINA YO ME CUIDO PERU ST TIPO D 0.195 </v>
      </c>
      <c r="D115" s="155" t="str">
        <f>'MODELO LAYOUT'!BG57</f>
        <v>STEEL FORCE</v>
      </c>
      <c r="E115" s="157">
        <f>'MODELO LAYOUT'!BG46</f>
        <v>16</v>
      </c>
    </row>
    <row r="116" spans="1:5" ht="12" customHeight="1" x14ac:dyDescent="0.15">
      <c r="A116" s="154">
        <f>'MODELO LAYOUT'!$BH$55</f>
        <v>0</v>
      </c>
      <c r="B116" s="155">
        <f>'MODELO LAYOUT'!$BH$54</f>
        <v>0</v>
      </c>
      <c r="C116" s="155" t="str">
        <f>'MODELO LAYOUT'!BH56</f>
        <v xml:space="preserve"> </v>
      </c>
      <c r="D116" s="155">
        <f>'MODELO LAYOUT'!BH57</f>
        <v>0</v>
      </c>
      <c r="E116" s="157">
        <f>'MODELO LAYOUT'!BH46</f>
        <v>15</v>
      </c>
    </row>
    <row r="117" spans="1:5" ht="12" customHeight="1" x14ac:dyDescent="0.15">
      <c r="A117" s="154">
        <f>'MODELO LAYOUT'!$BI$55</f>
        <v>213996</v>
      </c>
      <c r="B117" s="155">
        <f>'MODELO LAYOUT'!$BI$54</f>
        <v>3060</v>
      </c>
      <c r="C117" s="155" t="str">
        <f>'MODELO LAYOUT'!BI56</f>
        <v>LAMINA AGUILA MF 2026 UV TIPO D 0,195</v>
      </c>
      <c r="D117" s="155" t="str">
        <f>'MODELO LAYOUT'!BI57</f>
        <v>STEEL FORCE</v>
      </c>
      <c r="E117" s="157">
        <f>'MODELO LAYOUT'!BI46</f>
        <v>14</v>
      </c>
    </row>
    <row r="118" spans="1:5" ht="12" customHeight="1" x14ac:dyDescent="0.15">
      <c r="A118" s="154">
        <f>'MODELO LAYOUT'!$BJ$55</f>
        <v>213637</v>
      </c>
      <c r="B118" s="155">
        <f>'MODELO LAYOUT'!$BJ$54</f>
        <v>15780</v>
      </c>
      <c r="C118" s="155" t="str">
        <f>'MODELO LAYOUT'!BJ56</f>
        <v>LAMINA AGUILA LGT PROMO ALFA TIP D 0.195</v>
      </c>
      <c r="D118" s="155" t="str">
        <f>'MODELO LAYOUT'!BJ57</f>
        <v>SUXUN</v>
      </c>
      <c r="E118" s="157">
        <f>'MODELO LAYOUT'!BJ46</f>
        <v>13</v>
      </c>
    </row>
    <row r="119" spans="1:5" ht="12" customHeight="1" x14ac:dyDescent="0.15">
      <c r="A119" s="154">
        <f>'MODELO LAYOUT'!$BK$55</f>
        <v>0</v>
      </c>
      <c r="B119" s="155">
        <f>'MODELO LAYOUT'!$BK$54</f>
        <v>0</v>
      </c>
      <c r="C119" s="155" t="str">
        <f>'MODELO LAYOUT'!BK56</f>
        <v xml:space="preserve"> </v>
      </c>
      <c r="D119" s="155">
        <f>'MODELO LAYOUT'!BK57</f>
        <v>0</v>
      </c>
      <c r="E119" s="157">
        <f>'MODELO LAYOUT'!BK46</f>
        <v>12</v>
      </c>
    </row>
    <row r="120" spans="1:5" ht="12" customHeight="1" x14ac:dyDescent="0.15">
      <c r="A120" s="154">
        <f>'MODELO LAYOUT'!$BG$61</f>
        <v>211209</v>
      </c>
      <c r="B120" s="155">
        <f>'MODELO LAYOUT'!$BG$60</f>
        <v>1887</v>
      </c>
      <c r="C120" s="155" t="str">
        <f>'MODELO LAYOUT'!BG62</f>
        <v>LAMINA CORONA MARTE TIPO D 0.195</v>
      </c>
      <c r="D120" s="155" t="str">
        <f>'MODELO LAYOUT'!BG63</f>
        <v>SUXUN</v>
      </c>
      <c r="E120" s="157">
        <f>'MODELO LAYOUT'!BG59</f>
        <v>14</v>
      </c>
    </row>
    <row r="121" spans="1:5" ht="12" customHeight="1" x14ac:dyDescent="0.15">
      <c r="A121" s="154">
        <f>'MODELO LAYOUT'!$BH$61</f>
        <v>0</v>
      </c>
      <c r="B121" s="155">
        <f>'MODELO LAYOUT'!$BH$60</f>
        <v>0</v>
      </c>
      <c r="C121" s="155" t="str">
        <f>'MODELO LAYOUT'!BH62</f>
        <v xml:space="preserve"> </v>
      </c>
      <c r="D121" s="155">
        <f>'MODELO LAYOUT'!BH63</f>
        <v>0</v>
      </c>
      <c r="E121" s="157">
        <f>'MODELO LAYOUT'!BH59</f>
        <v>13</v>
      </c>
    </row>
    <row r="122" spans="1:5" ht="12" customHeight="1" x14ac:dyDescent="0.15">
      <c r="A122" s="154">
        <f>'MODELO LAYOUT'!$BI$61</f>
        <v>0</v>
      </c>
      <c r="B122" s="155">
        <f>'MODELO LAYOUT'!$BI$60</f>
        <v>0</v>
      </c>
      <c r="C122" s="155" t="str">
        <f>'MODELO LAYOUT'!BI62</f>
        <v xml:space="preserve"> </v>
      </c>
      <c r="D122" s="155">
        <f>'MODELO LAYOUT'!BI63</f>
        <v>0</v>
      </c>
      <c r="E122" s="157">
        <f>'MODELO LAYOUT'!BI59</f>
        <v>12</v>
      </c>
    </row>
    <row r="123" spans="1:5" ht="12" customHeight="1" x14ac:dyDescent="0.15">
      <c r="A123" s="154">
        <f>'MODELO LAYOUT'!$BJ$61</f>
        <v>0</v>
      </c>
      <c r="B123" s="155">
        <f>'MODELO LAYOUT'!$BJ$60</f>
        <v>0</v>
      </c>
      <c r="C123" s="155" t="str">
        <f>'MODELO LAYOUT'!BJ62</f>
        <v xml:space="preserve"> </v>
      </c>
      <c r="D123" s="155">
        <f>'MODELO LAYOUT'!BJ63</f>
        <v>0</v>
      </c>
      <c r="E123" s="157">
        <f>'MODELO LAYOUT'!BJ59</f>
        <v>11</v>
      </c>
    </row>
    <row r="124" spans="1:5" ht="12" customHeight="1" x14ac:dyDescent="0.15">
      <c r="A124" s="154">
        <f>'MODELO LAYOUT'!$BK$61</f>
        <v>0</v>
      </c>
      <c r="B124" s="155">
        <f>'MODELO LAYOUT'!BK60</f>
        <v>0</v>
      </c>
      <c r="C124" s="155" t="str">
        <f>'MODELO LAYOUT'!BK62</f>
        <v xml:space="preserve"> </v>
      </c>
      <c r="D124" s="155">
        <f>'MODELO LAYOUT'!BK63</f>
        <v>0</v>
      </c>
      <c r="E124" s="157">
        <f>'MODELO LAYOUT'!BK59</f>
        <v>10</v>
      </c>
    </row>
    <row r="125" spans="1:5" ht="12" customHeight="1" x14ac:dyDescent="0.15">
      <c r="A125" s="154">
        <f>'MODELO LAYOUT'!$BL$55</f>
        <v>211208</v>
      </c>
      <c r="B125" s="155">
        <f>'MODELO LAYOUT'!$BL$54</f>
        <v>15323</v>
      </c>
      <c r="C125" s="155" t="str">
        <f>'MODELO LAYOUT'!BL56</f>
        <v>LAMINA PILSEN GENERICA TIP D 0.195</v>
      </c>
      <c r="D125" s="155" t="str">
        <f>'MODELO LAYOUT'!BL57</f>
        <v>STEEL FORCE</v>
      </c>
      <c r="E125" s="157">
        <f>'MODELO LAYOUT'!BL46</f>
        <v>11</v>
      </c>
    </row>
    <row r="126" spans="1:5" ht="12" customHeight="1" x14ac:dyDescent="0.15">
      <c r="A126" s="154">
        <f>'MODELO LAYOUT'!$BM$55</f>
        <v>213738</v>
      </c>
      <c r="B126" s="155">
        <f>'MODELO LAYOUT'!$BM$54</f>
        <v>4004</v>
      </c>
      <c r="C126" s="155" t="str">
        <f>'MODELO LAYOUT'!BM56</f>
        <v>LAMINA POKER RENOVACION</v>
      </c>
      <c r="D126" s="155" t="str">
        <f>'MODELO LAYOUT'!BM57</f>
        <v>SUXUN</v>
      </c>
      <c r="E126" s="157">
        <f>'MODELO LAYOUT'!BM46</f>
        <v>10</v>
      </c>
    </row>
    <row r="127" spans="1:5" ht="12" customHeight="1" x14ac:dyDescent="0.15">
      <c r="A127" s="154">
        <f>'MODELO LAYOUT'!$BL$61</f>
        <v>0</v>
      </c>
      <c r="B127" s="155">
        <f>'MODELO LAYOUT'!$BL$60</f>
        <v>0</v>
      </c>
      <c r="C127" s="155" t="str">
        <f>'MODELO LAYOUT'!BL62</f>
        <v xml:space="preserve"> </v>
      </c>
      <c r="D127" s="155">
        <f>'MODELO LAYOUT'!BL63</f>
        <v>0</v>
      </c>
      <c r="E127" s="157">
        <f>'MODELO LAYOUT'!BL59</f>
        <v>9</v>
      </c>
    </row>
    <row r="128" spans="1:5" ht="12" customHeight="1" x14ac:dyDescent="0.15">
      <c r="A128" s="154">
        <f>'MODELO LAYOUT'!$BM$61</f>
        <v>0</v>
      </c>
      <c r="B128" s="155">
        <f>'MODELO LAYOUT'!$BM$60</f>
        <v>0</v>
      </c>
      <c r="C128" s="155" t="str">
        <f>'MODELO LAYOUT'!BM62</f>
        <v xml:space="preserve"> </v>
      </c>
      <c r="D128" s="155">
        <f>'MODELO LAYOUT'!BM63</f>
        <v>0</v>
      </c>
      <c r="E128" s="157">
        <f>'MODELO LAYOUT'!BM59</f>
        <v>8</v>
      </c>
    </row>
    <row r="129" spans="1:5" ht="12" customHeight="1" x14ac:dyDescent="0.15">
      <c r="A129" s="154">
        <f>'MODELO LAYOUT'!$BP$55</f>
        <v>0</v>
      </c>
      <c r="B129" s="155">
        <f>'MODELO LAYOUT'!$BP$54</f>
        <v>0</v>
      </c>
      <c r="C129" s="155" t="str">
        <f>'MODELO LAYOUT'!BP56</f>
        <v xml:space="preserve"> </v>
      </c>
      <c r="D129" s="155">
        <f>'MODELO LAYOUT'!BP57</f>
        <v>0</v>
      </c>
      <c r="E129" s="157">
        <f>'MODELO LAYOUT'!BP46</f>
        <v>6</v>
      </c>
    </row>
    <row r="130" spans="1:5" ht="12" customHeight="1" x14ac:dyDescent="0.15">
      <c r="A130" s="154">
        <f>'MODELO LAYOUT'!$BQ$55</f>
        <v>211209</v>
      </c>
      <c r="B130" s="155">
        <f>'MODELO LAYOUT'!$BQ$54</f>
        <v>1174</v>
      </c>
      <c r="C130" s="155" t="str">
        <f>'MODELO LAYOUT'!BQ56</f>
        <v>LAMINA CORONA MARTE TIPO D 0.195</v>
      </c>
      <c r="D130" s="155" t="str">
        <f>'MODELO LAYOUT'!BQ57</f>
        <v>SUXUN</v>
      </c>
      <c r="E130" s="157">
        <f>'MODELO LAYOUT'!BQ46</f>
        <v>5</v>
      </c>
    </row>
    <row r="131" spans="1:5" ht="12" customHeight="1" x14ac:dyDescent="0.15">
      <c r="A131" s="154">
        <f>'MODELO LAYOUT'!$BR$55</f>
        <v>212787</v>
      </c>
      <c r="B131" s="155">
        <f>'MODELO LAYOUT'!$BR$54</f>
        <v>1629</v>
      </c>
      <c r="C131" s="155" t="str">
        <f>'MODELO LAYOUT'!BR56</f>
        <v>LAMINA CORONA CERO TIPO D 0,195</v>
      </c>
      <c r="D131" s="155" t="str">
        <f>'MODELO LAYOUT'!BR57</f>
        <v>SUXUN</v>
      </c>
      <c r="E131" s="157">
        <f>'MODELO LAYOUT'!BR46</f>
        <v>4</v>
      </c>
    </row>
    <row r="132" spans="1:5" ht="12" customHeight="1" x14ac:dyDescent="0.15">
      <c r="A132" s="154">
        <f>'MODELO LAYOUT'!$BS$55</f>
        <v>212315</v>
      </c>
      <c r="B132" s="155">
        <f>'MODELO LAYOUT'!$BS$54</f>
        <v>16582</v>
      </c>
      <c r="C132" s="155" t="str">
        <f>'MODELO LAYOUT'!BS56</f>
        <v xml:space="preserve">LAMINA COSTEÑITA CBARRAS LG TIPOD.0.195 </v>
      </c>
      <c r="D132" s="155" t="str">
        <f>'MODELO LAYOUT'!BS57</f>
        <v>SUXUN</v>
      </c>
      <c r="E132" s="157">
        <f>'MODELO LAYOUT'!BS46</f>
        <v>3</v>
      </c>
    </row>
    <row r="133" spans="1:5" ht="12" customHeight="1" x14ac:dyDescent="0.15">
      <c r="A133" s="154">
        <f>'MODELO LAYOUT'!$BT$55</f>
        <v>0</v>
      </c>
      <c r="B133" s="155">
        <f>'MODELO LAYOUT'!$BT$54</f>
        <v>0</v>
      </c>
      <c r="C133" s="155" t="str">
        <f>'MODELO LAYOUT'!BT56</f>
        <v xml:space="preserve"> </v>
      </c>
      <c r="D133" s="155">
        <f>'MODELO LAYOUT'!BT57</f>
        <v>0</v>
      </c>
      <c r="E133" s="157">
        <f>'MODELO LAYOUT'!BT46</f>
        <v>2</v>
      </c>
    </row>
    <row r="134" spans="1:5" ht="12" customHeight="1" x14ac:dyDescent="0.15">
      <c r="A134" s="154">
        <f>'MODELO LAYOUT'!$BU$55</f>
        <v>212403</v>
      </c>
      <c r="B134" s="155">
        <f>'MODELO LAYOUT'!$BU$54</f>
        <v>1692</v>
      </c>
      <c r="C134" s="155" t="str">
        <f>'MODELO LAYOUT'!BU56</f>
        <v xml:space="preserve">LAMINA COSTEÑA BACANA 2000 TP D 0.195 </v>
      </c>
      <c r="D134" s="155" t="str">
        <f>'MODELO LAYOUT'!BU57</f>
        <v>SUXUN</v>
      </c>
      <c r="E134" s="157">
        <f>'MODELO LAYOUT'!BU46</f>
        <v>1</v>
      </c>
    </row>
    <row r="135" spans="1:5" ht="12" customHeight="1" x14ac:dyDescent="0.15">
      <c r="A135" s="154">
        <f>'MODELO LAYOUT'!$BP$61</f>
        <v>0</v>
      </c>
      <c r="B135" s="155">
        <f>'MODELO LAYOUT'!$BP$60</f>
        <v>0</v>
      </c>
      <c r="C135" s="155" t="str">
        <f>'MODELO LAYOUT'!BP62</f>
        <v xml:space="preserve"> </v>
      </c>
      <c r="D135" s="155">
        <f>'MODELO LAYOUT'!BP57</f>
        <v>0</v>
      </c>
      <c r="E135" s="157">
        <f>'MODELO LAYOUT'!BP59</f>
        <v>6</v>
      </c>
    </row>
    <row r="136" spans="1:5" ht="12" customHeight="1" x14ac:dyDescent="0.15">
      <c r="A136" s="154">
        <f>'MODELO LAYOUT'!$BQ$61</f>
        <v>0</v>
      </c>
      <c r="B136" s="155">
        <f>'MODELO LAYOUT'!$BQ$60</f>
        <v>0</v>
      </c>
      <c r="C136" s="155" t="str">
        <f>'MODELO LAYOUT'!BQ62</f>
        <v xml:space="preserve"> </v>
      </c>
      <c r="D136" s="155" t="str">
        <f>'MODELO LAYOUT'!BQ57</f>
        <v>SUXUN</v>
      </c>
      <c r="E136" s="157">
        <f>'MODELO LAYOUT'!BQ59</f>
        <v>5</v>
      </c>
    </row>
    <row r="137" spans="1:5" ht="12" customHeight="1" x14ac:dyDescent="0.15">
      <c r="A137" s="154">
        <f>'MODELO LAYOUT'!$BR$61</f>
        <v>0</v>
      </c>
      <c r="B137" s="155">
        <f>'MODELO LAYOUT'!$BR$60</f>
        <v>0</v>
      </c>
      <c r="C137" s="155" t="str">
        <f>'MODELO LAYOUT'!BR62</f>
        <v xml:space="preserve"> </v>
      </c>
      <c r="D137" s="155" t="str">
        <f>'MODELO LAYOUT'!BR57</f>
        <v>SUXUN</v>
      </c>
      <c r="E137" s="157">
        <f>'MODELO LAYOUT'!BR59</f>
        <v>4</v>
      </c>
    </row>
    <row r="138" spans="1:5" ht="12" customHeight="1" x14ac:dyDescent="0.15">
      <c r="A138" s="154">
        <f>'MODELO LAYOUT'!$BS$61</f>
        <v>0</v>
      </c>
      <c r="B138" s="155">
        <f>'MODELO LAYOUT'!$BS$60</f>
        <v>0</v>
      </c>
      <c r="C138" s="155" t="str">
        <f>'MODELO LAYOUT'!BS62</f>
        <v xml:space="preserve"> </v>
      </c>
      <c r="D138" s="155" t="str">
        <f>'MODELO LAYOUT'!BS57</f>
        <v>SUXUN</v>
      </c>
      <c r="E138" s="157">
        <f>'MODELO LAYOUT'!BS59</f>
        <v>3</v>
      </c>
    </row>
    <row r="139" spans="1:5" ht="12" customHeight="1" x14ac:dyDescent="0.15">
      <c r="A139" s="154">
        <f>'MODELO LAYOUT'!$BT$61</f>
        <v>0</v>
      </c>
      <c r="B139" s="155">
        <f>'MODELO LAYOUT'!$BT$60</f>
        <v>0</v>
      </c>
      <c r="C139" s="155" t="str">
        <f>'MODELO LAYOUT'!BT62</f>
        <v xml:space="preserve"> </v>
      </c>
      <c r="D139" s="155">
        <f>'MODELO LAYOUT'!BT57</f>
        <v>0</v>
      </c>
      <c r="E139" s="157">
        <f>'MODELO LAYOUT'!BT59</f>
        <v>2</v>
      </c>
    </row>
    <row r="140" spans="1:5" ht="12" customHeight="1" x14ac:dyDescent="0.15">
      <c r="A140" s="154">
        <f>'MODELO LAYOUT'!$BU$61</f>
        <v>0</v>
      </c>
      <c r="B140" s="155">
        <f>'MODELO LAYOUT'!$BU$60</f>
        <v>0</v>
      </c>
      <c r="C140" s="155" t="str">
        <f>'MODELO LAYOUT'!BU62</f>
        <v xml:space="preserve"> </v>
      </c>
      <c r="D140" s="155" t="str">
        <f>'MODELO LAYOUT'!BU57</f>
        <v>SUXUN</v>
      </c>
      <c r="E140" s="157">
        <f>'MODELO LAYOUT'!BU59</f>
        <v>1</v>
      </c>
    </row>
    <row r="141" spans="1:5" ht="12" customHeight="1" x14ac:dyDescent="0.15">
      <c r="A141" s="158">
        <f>'MODELO LAYOUT'!$AQ$77</f>
        <v>0</v>
      </c>
      <c r="B141" s="159">
        <f>'MODELO LAYOUT'!$AT$77</f>
        <v>0</v>
      </c>
      <c r="C141" s="159" t="str">
        <f>'MODELO LAYOUT'!AR77</f>
        <v/>
      </c>
      <c r="D141" s="155" t="str">
        <f>'MODELO LAYOUT'!AP77</f>
        <v>SACMI 1</v>
      </c>
      <c r="E141" s="157" t="str">
        <f>'MODELO LAYOUT'!BZ60</f>
        <v>TROQUELADORA</v>
      </c>
    </row>
    <row r="142" spans="1:5" ht="12" customHeight="1" x14ac:dyDescent="0.15">
      <c r="A142" s="158">
        <f>'MODELO LAYOUT'!$AQ$78</f>
        <v>0</v>
      </c>
      <c r="B142" s="159">
        <f>'MODELO LAYOUT'!$AT$78</f>
        <v>0</v>
      </c>
      <c r="C142" s="159" t="str">
        <f>'MODELO LAYOUT'!AR78</f>
        <v/>
      </c>
      <c r="D142" s="155" t="str">
        <f>'MODELO LAYOUT'!AP78</f>
        <v>SACMI 2</v>
      </c>
      <c r="E142" s="157" t="str">
        <f>'MODELO LAYOUT'!BZ60</f>
        <v>TROQUELADORA</v>
      </c>
    </row>
    <row r="143" spans="1:5" ht="12" customHeight="1" x14ac:dyDescent="0.15">
      <c r="A143" s="158">
        <f>'MODELO LAYOUT'!$AQ$79</f>
        <v>0</v>
      </c>
      <c r="B143" s="159">
        <f>'MODELO LAYOUT'!$AT$79</f>
        <v>0</v>
      </c>
      <c r="C143" s="159" t="str">
        <f>'MODELO LAYOUT'!AR79</f>
        <v/>
      </c>
      <c r="D143" s="155" t="str">
        <f>'MODELO LAYOUT'!AP79</f>
        <v>SACMI 3</v>
      </c>
      <c r="E143" s="157" t="str">
        <f>'MODELO LAYOUT'!BZ60</f>
        <v>TROQUELADORA</v>
      </c>
    </row>
    <row r="144" spans="1:5" ht="12" customHeight="1" x14ac:dyDescent="0.15">
      <c r="A144" s="158">
        <f>'MODELO LAYOUT'!$AQ$80</f>
        <v>0</v>
      </c>
      <c r="B144" s="159">
        <f>'MODELO LAYOUT'!$AT$80</f>
        <v>0</v>
      </c>
      <c r="C144" s="159" t="str">
        <f>'MODELO LAYOUT'!AR80</f>
        <v/>
      </c>
      <c r="D144" s="155" t="str">
        <f>'MODELO LAYOUT'!AP80</f>
        <v>SACMI 4</v>
      </c>
      <c r="E144" s="157" t="str">
        <f>'MODELO LAYOUT'!BZ60</f>
        <v>TROQUELADORA</v>
      </c>
    </row>
    <row r="145" spans="1:5" ht="12" customHeight="1" x14ac:dyDescent="0.15">
      <c r="A145" s="158">
        <f>'MODELO LAYOUT'!$AU$77</f>
        <v>0</v>
      </c>
      <c r="B145" s="159">
        <f>'MODELO LAYOUT'!$AX$77</f>
        <v>0</v>
      </c>
      <c r="C145" s="159" t="str">
        <f>'MODELO LAYOUT'!AV77</f>
        <v/>
      </c>
      <c r="D145" s="155" t="str">
        <f>'MODELO LAYOUT'!AP77</f>
        <v>SACMI 1</v>
      </c>
      <c r="E145" s="157" t="str">
        <f>'MODELO LAYOUT'!BZ60</f>
        <v>TROQUELADORA</v>
      </c>
    </row>
    <row r="146" spans="1:5" ht="12" customHeight="1" x14ac:dyDescent="0.15">
      <c r="A146" s="158">
        <f>'MODELO LAYOUT'!$AU$78</f>
        <v>0</v>
      </c>
      <c r="B146" s="159">
        <f>'MODELO LAYOUT'!$AX$78</f>
        <v>0</v>
      </c>
      <c r="C146" s="159" t="str">
        <f>'MODELO LAYOUT'!AV78</f>
        <v/>
      </c>
      <c r="D146" s="155" t="str">
        <f>'MODELO LAYOUT'!AP78</f>
        <v>SACMI 2</v>
      </c>
      <c r="E146" s="157" t="str">
        <f>'MODELO LAYOUT'!BZ60</f>
        <v>TROQUELADORA</v>
      </c>
    </row>
    <row r="147" spans="1:5" ht="12" customHeight="1" x14ac:dyDescent="0.15">
      <c r="A147" s="158">
        <f>'MODELO LAYOUT'!$AU$79</f>
        <v>0</v>
      </c>
      <c r="B147" s="159">
        <f>'MODELO LAYOUT'!$AX$79</f>
        <v>0</v>
      </c>
      <c r="C147" s="159" t="str">
        <f>'MODELO LAYOUT'!AV79</f>
        <v/>
      </c>
      <c r="D147" s="155" t="str">
        <f>'MODELO LAYOUT'!AP79</f>
        <v>SACMI 3</v>
      </c>
      <c r="E147" s="157" t="str">
        <f>'MODELO LAYOUT'!BZ60</f>
        <v>TROQUELADORA</v>
      </c>
    </row>
    <row r="148" spans="1:5" ht="12" customHeight="1" x14ac:dyDescent="0.15">
      <c r="A148" s="158">
        <f>'MODELO LAYOUT'!$AU$80</f>
        <v>0</v>
      </c>
      <c r="B148" s="159">
        <f>'MODELO LAYOUT'!$AX$80</f>
        <v>0</v>
      </c>
      <c r="C148" s="159" t="str">
        <f>'MODELO LAYOUT'!AV80</f>
        <v/>
      </c>
      <c r="D148" s="155" t="str">
        <f>'MODELO LAYOUT'!AP80</f>
        <v>SACMI 4</v>
      </c>
      <c r="E148" s="157" t="str">
        <f>'MODELO LAYOUT'!BZ60</f>
        <v>TROQUELADORA</v>
      </c>
    </row>
    <row r="149" spans="1:5" ht="12" customHeight="1" x14ac:dyDescent="0.15">
      <c r="A149" s="158">
        <f>'MODELO LAYOUT'!$AY$77</f>
        <v>213996</v>
      </c>
      <c r="B149" s="159">
        <f>'MODELO LAYOUT'!$BB$77</f>
        <v>5542</v>
      </c>
      <c r="C149" s="159" t="str">
        <f>'MODELO LAYOUT'!AZ77</f>
        <v>LAMINA AGUILA MF 2026 UV TIPO D 0,195</v>
      </c>
      <c r="D149" s="155" t="str">
        <f>'MODELO LAYOUT'!AP77</f>
        <v>SACMI 1</v>
      </c>
      <c r="E149" s="157" t="str">
        <f>'MODELO LAYOUT'!BZ60</f>
        <v>TROQUELADORA</v>
      </c>
    </row>
    <row r="150" spans="1:5" ht="12" customHeight="1" x14ac:dyDescent="0.15">
      <c r="A150" s="158">
        <f>'MODELO LAYOUT'!$AY$78</f>
        <v>213637</v>
      </c>
      <c r="B150" s="159">
        <f>'MODELO LAYOUT'!$BB$78</f>
        <v>5065</v>
      </c>
      <c r="C150" s="159" t="str">
        <f>'MODELO LAYOUT'!AZ78</f>
        <v>LAMINA AGUILA LGT PROMO ALFA TIP D 0.195</v>
      </c>
      <c r="D150" s="155" t="str">
        <f>'MODELO LAYOUT'!AP78</f>
        <v>SACMI 2</v>
      </c>
      <c r="E150" s="157" t="str">
        <f>'MODELO LAYOUT'!BZ60</f>
        <v>TROQUELADORA</v>
      </c>
    </row>
    <row r="151" spans="1:5" ht="12" customHeight="1" x14ac:dyDescent="0.15">
      <c r="A151" s="158">
        <f>'MODELO LAYOUT'!$AY$79</f>
        <v>213738</v>
      </c>
      <c r="B151" s="159">
        <f>'MODELO LAYOUT'!$BB$79</f>
        <v>4662</v>
      </c>
      <c r="C151" s="159" t="str">
        <f>'MODELO LAYOUT'!AZ79</f>
        <v>LAMINA POKER RENOVACION</v>
      </c>
      <c r="D151" s="155" t="str">
        <f>'MODELO LAYOUT'!AP79</f>
        <v>SACMI 3</v>
      </c>
      <c r="E151" s="157" t="str">
        <f>'MODELO LAYOUT'!BZ60</f>
        <v>TROQUELADORA</v>
      </c>
    </row>
    <row r="152" spans="1:5" ht="12" customHeight="1" x14ac:dyDescent="0.15">
      <c r="A152" s="160">
        <f>'MODELO LAYOUT'!$AY$80</f>
        <v>212403</v>
      </c>
      <c r="B152" s="161">
        <f>'MODELO LAYOUT'!$BB$80</f>
        <v>4492</v>
      </c>
      <c r="C152" s="161" t="str">
        <f>'MODELO LAYOUT'!AZ80</f>
        <v xml:space="preserve">LAMINA COSTEÑA BACANA 2000 TP D 0.195 </v>
      </c>
      <c r="D152" s="155" t="str">
        <f>'MODELO LAYOUT'!AP80</f>
        <v>SACMI 4</v>
      </c>
      <c r="E152" s="162" t="str">
        <f>'MODELO LAYOUT'!BZ60</f>
        <v>TROQUELADORA</v>
      </c>
    </row>
  </sheetData>
  <autoFilter ref="A1:E152" xr:uid="{F09BAEE4-5522-4BB5-9D3E-F8BDBC72A8F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CC425ADC1DF145BDCE0EFA851B601C" ma:contentTypeVersion="23" ma:contentTypeDescription="Crear nuevo documento." ma:contentTypeScope="" ma:versionID="77ba9fc9ad5ae458e41d86a4589a7978">
  <xsd:schema xmlns:xsd="http://www.w3.org/2001/XMLSchema" xmlns:xs="http://www.w3.org/2001/XMLSchema" xmlns:p="http://schemas.microsoft.com/office/2006/metadata/properties" xmlns:ns2="15810b5a-f31f-49e9-8bf5-a0355fa3b3da" xmlns:ns3="3e6c7517-79eb-4fd5-9e90-f9efc7a0c7ff" xmlns:ns4="29c2ee19-abe3-4567-9f29-6ffeac90f514" targetNamespace="http://schemas.microsoft.com/office/2006/metadata/properties" ma:root="true" ma:fieldsID="96fe076b3b1f4990303dd7bdac5d46d2" ns2:_="" ns3:_="" ns4:_="">
    <xsd:import namespace="15810b5a-f31f-49e9-8bf5-a0355fa3b3da"/>
    <xsd:import namespace="3e6c7517-79eb-4fd5-9e90-f9efc7a0c7ff"/>
    <xsd:import namespace="29c2ee19-abe3-4567-9f29-6ffeac90f51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Fecha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_x0030_3_x002e_MARZO" minOccurs="0"/>
                <xsd:element ref="ns3:SKAPFORMULAPREMIUM" minOccurs="0"/>
                <xsd:element ref="ns3:SKAPFD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10b5a-f31f-49e9-8bf5-a0355fa3b3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c7517-79eb-4fd5-9e90-f9efc7a0c7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Fecha" ma:index="21" nillable="true" ma:displayName="Fecha" ma:format="DateOnly" ma:internalName="Fecha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2e2deea9-f698-482e-8f77-105b59b60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0_3_x002e_MARZO" ma:index="28" nillable="true" ma:displayName="Titulo" ma:format="Dropdown" ma:internalName="_x0030_3_x002e_MARZO">
      <xsd:simpleType>
        <xsd:restriction base="dms:Text">
          <xsd:maxLength value="255"/>
        </xsd:restriction>
      </xsd:simpleType>
    </xsd:element>
    <xsd:element name="SKAPFORMULAPREMIUM" ma:index="29" nillable="true" ma:displayName="SKAP FORMULA PREMIUM" ma:format="Dropdown" ma:internalName="SKAPFORMULAPREMIUM">
      <xsd:simpleType>
        <xsd:restriction base="dms:Text">
          <xsd:maxLength value="255"/>
        </xsd:restriction>
      </xsd:simpleType>
    </xsd:element>
    <xsd:element name="SKAPFDT" ma:index="30" nillable="true" ma:displayName="SKAP FDT" ma:format="Dropdown" ma:internalName="SKAPFD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2ee19-abe3-4567-9f29-6ffeac90f514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b0cf4f7-e2b5-41dd-8627-5a5dd2ab5ca9}" ma:internalName="TaxCatchAll" ma:showField="CatchAllData" ma:web="29c2ee19-abe3-4567-9f29-6ffeac90f5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c2ee19-abe3-4567-9f29-6ffeac90f514" xsi:nil="true"/>
    <lcf76f155ced4ddcb4097134ff3c332f xmlns="3e6c7517-79eb-4fd5-9e90-f9efc7a0c7ff">
      <Terms xmlns="http://schemas.microsoft.com/office/infopath/2007/PartnerControls"/>
    </lcf76f155ced4ddcb4097134ff3c332f>
    <Fecha xmlns="3e6c7517-79eb-4fd5-9e90-f9efc7a0c7ff" xsi:nil="true"/>
    <_x0030_3_x002e_MARZO xmlns="3e6c7517-79eb-4fd5-9e90-f9efc7a0c7ff" xsi:nil="true"/>
    <SKAPFORMULAPREMIUM xmlns="3e6c7517-79eb-4fd5-9e90-f9efc7a0c7ff" xsi:nil="true"/>
    <SKAPFDT xmlns="3e6c7517-79eb-4fd5-9e90-f9efc7a0c7f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4E1629-55C9-4174-8CA2-EB32EA76F94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5810b5a-f31f-49e9-8bf5-a0355fa3b3da"/>
    <ds:schemaRef ds:uri="3e6c7517-79eb-4fd5-9e90-f9efc7a0c7ff"/>
    <ds:schemaRef ds:uri="29c2ee19-abe3-4567-9f29-6ffeac90f514"/>
  </ds:schemaRefs>
</ds:datastoreItem>
</file>

<file path=customXml/itemProps2.xml><?xml version="1.0" encoding="utf-8"?>
<ds:datastoreItem xmlns:ds="http://schemas.openxmlformats.org/officeDocument/2006/customXml" ds:itemID="{6C8F4227-F277-4D85-878D-894DBAA799A5}">
  <ds:schemaRefs>
    <ds:schemaRef ds:uri="http://schemas.microsoft.com/office/2006/metadata/properties"/>
    <ds:schemaRef ds:uri="http://www.w3.org/2000/xmlns/"/>
    <ds:schemaRef ds:uri="29c2ee19-abe3-4567-9f29-6ffeac90f514"/>
    <ds:schemaRef ds:uri="http://www.w3.org/2001/XMLSchema-instance"/>
    <ds:schemaRef ds:uri="3e6c7517-79eb-4fd5-9e90-f9efc7a0c7ff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EC841B0-3762-4094-BF8B-84640CCCD2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DISPONIBILIDAD </vt:lpstr>
      <vt:lpstr>MODELO LAYOUT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 Lorenzo Cardenas Roa</dc:creator>
  <cp:keywords/>
  <dc:description/>
  <cp:lastModifiedBy>JUAN HERNANDEZVALENCIA</cp:lastModifiedBy>
  <cp:revision/>
  <dcterms:created xsi:type="dcterms:W3CDTF">2024-01-24T19:35:23Z</dcterms:created>
  <dcterms:modified xsi:type="dcterms:W3CDTF">2026-05-28T21:00:45Z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0x010100DECC425ADC1DF145BDCE0EFA851B601C</vt:lpwstr>
  </property>
  <property fmtid="{D5CDD505-2E9C-101B-9397-08002B2CF9AE}" pid="3" name="ICV">
    <vt:lpwstr>6dcb3cb2867c442ab1acc5f33d764faf</vt:lpwstr>
  </property>
  <property fmtid="{D5CDD505-2E9C-101B-9397-08002B2CF9AE}" pid="4" name="MediaServiceImageTags">
    <vt:lpwstr/>
  </property>
</Properties>
</file>